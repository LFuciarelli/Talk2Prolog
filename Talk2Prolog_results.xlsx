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s Websites" sheetId="1" r:id="rId5"/>
    <sheet state="visible" name="Facts Mix" sheetId="2" r:id="rId6"/>
    <sheet state="visible" name="Facts Variables" sheetId="3" r:id="rId7"/>
    <sheet state="visible" name="Queries Websites" sheetId="4" r:id="rId8"/>
    <sheet state="visible" name="Queries Mix" sheetId="5" r:id="rId9"/>
    <sheet state="visible" name="Rules Websites" sheetId="6" r:id="rId10"/>
    <sheet state="visible" name="Rules Mix" sheetId="7" r:id="rId11"/>
    <sheet state="visible" name="0-arity facts (GPT)" sheetId="8" r:id="rId12"/>
    <sheet state="visible" name="1-arity facts (GPT)" sheetId="9" r:id="rId13"/>
    <sheet state="visible" name="2-arity facts (GPT)" sheetId="10" r:id="rId14"/>
    <sheet state="visible" name="Running Examples" sheetId="11" r:id="rId15"/>
    <sheet state="visible" name="Semantic Examples" sheetId="12" r:id="rId16"/>
  </sheets>
  <definedNames/>
  <calcPr/>
</workbook>
</file>

<file path=xl/sharedStrings.xml><?xml version="1.0" encoding="utf-8"?>
<sst xmlns="http://schemas.openxmlformats.org/spreadsheetml/2006/main" count="8985" uniqueCount="1947">
  <si>
    <t>Talk2Prolog</t>
  </si>
  <si>
    <t>Execution time (s)</t>
  </si>
  <si>
    <t>Levenshtein (%)</t>
  </si>
  <si>
    <t>Check</t>
  </si>
  <si>
    <t>Online informed GPT</t>
  </si>
  <si>
    <t>Online uninformed GPT</t>
  </si>
  <si>
    <t>Offline informed GPT</t>
  </si>
  <si>
    <t>Offline uninformed GPT</t>
  </si>
  <si>
    <t>Talk2Prolog metrics</t>
  </si>
  <si>
    <t>Online informed GPT metrics</t>
  </si>
  <si>
    <t>Online uninformed GPT metrics</t>
  </si>
  <si>
    <t>Offline informed GPT metrics</t>
  </si>
  <si>
    <t>Offline uninformed GPT metrics</t>
  </si>
  <si>
    <t>Metrics</t>
  </si>
  <si>
    <t>food(burger).</t>
  </si>
  <si>
    <t>VALID</t>
  </si>
  <si>
    <t>Exec time</t>
  </si>
  <si>
    <t>food(sandwich).</t>
  </si>
  <si>
    <t>Average</t>
  </si>
  <si>
    <t>food(pizza).</t>
  </si>
  <si>
    <t>Stdev</t>
  </si>
  <si>
    <t>lunch(sandwich).</t>
  </si>
  <si>
    <t>Max</t>
  </si>
  <si>
    <t>dinner(pizza).</t>
  </si>
  <si>
    <t>Min</t>
  </si>
  <si>
    <t>csc135(charlie_studies).</t>
  </si>
  <si>
    <t>INVALID</t>
  </si>
  <si>
    <t>studies(charlie,csc135).</t>
  </si>
  <si>
    <t>Total</t>
  </si>
  <si>
    <t>csc135(olivia_studies).</t>
  </si>
  <si>
    <t>studies(olivia,csc135).</t>
  </si>
  <si>
    <t>Levenshtein</t>
  </si>
  <si>
    <t>studies(jack, csc131).</t>
  </si>
  <si>
    <t>studies(jack,csc131).</t>
  </si>
  <si>
    <t>teaches(kirke, csc135).</t>
  </si>
  <si>
    <t>teaches(kirke,csc135).</t>
  </si>
  <si>
    <t>teaches(collins, csc131).</t>
  </si>
  <si>
    <t>teaches(collins,csc131).</t>
  </si>
  <si>
    <t>teaches(collins, csc171).</t>
  </si>
  <si>
    <t>teaches(collins,csc171).</t>
  </si>
  <si>
    <t>teaches(juniper, csc134).</t>
  </si>
  <si>
    <t>teaches(juniper,csc134).</t>
  </si>
  <si>
    <t>owns(jack, bmw_car).</t>
  </si>
  <si>
    <t>owns(jack,bmw_car).</t>
  </si>
  <si>
    <t>Check rate</t>
  </si>
  <si>
    <t>owns(john, chevy_car).</t>
  </si>
  <si>
    <t>owns(john,chevy_car).</t>
  </si>
  <si>
    <t>Valid</t>
  </si>
  <si>
    <t>owns(olivia, civic(car)).</t>
  </si>
  <si>
    <t>owns(olivia,civic_car).</t>
  </si>
  <si>
    <t>Invalid</t>
  </si>
  <si>
    <t>owns(jane, chevy_car).</t>
  </si>
  <si>
    <t>owns(jane,chevy_car).</t>
  </si>
  <si>
    <t>Error</t>
  </si>
  <si>
    <t>sedan(bmw_car).</t>
  </si>
  <si>
    <t>sedan(car(bmw)).</t>
  </si>
  <si>
    <t>car(bmw,sedan).</t>
  </si>
  <si>
    <t>Error rate</t>
  </si>
  <si>
    <t>sedan(civic(car)).</t>
  </si>
  <si>
    <t>sedan(civic_car).</t>
  </si>
  <si>
    <t>is_a(civic_car, sedan).</t>
  </si>
  <si>
    <t>Coverage</t>
  </si>
  <si>
    <t>truck(chevy_car).</t>
  </si>
  <si>
    <t>Coverage rate</t>
  </si>
  <si>
    <t>cat(fubby).</t>
  </si>
  <si>
    <t>Equal</t>
  </si>
  <si>
    <t>has(fubby, black(spots)).</t>
  </si>
  <si>
    <t>has(fubby,black_spots).</t>
  </si>
  <si>
    <t>has_spots(fubby,black).</t>
  </si>
  <si>
    <t>Not equal</t>
  </si>
  <si>
    <t>dog(figaro).</t>
  </si>
  <si>
    <t>has(figaro, white(spots)).</t>
  </si>
  <si>
    <t>has(figaro,white_spots).</t>
  </si>
  <si>
    <t>has_spots(figaro,white).</t>
  </si>
  <si>
    <t>sunny.</t>
  </si>
  <si>
    <t>raining.</t>
  </si>
  <si>
    <t>foggy.</t>
  </si>
  <si>
    <t>cold(john).</t>
  </si>
  <si>
    <t>forgets(john, raincoat).</t>
  </si>
  <si>
    <t>forgot(john,raincoat).</t>
  </si>
  <si>
    <t>forgot_raincoat(john).</t>
  </si>
  <si>
    <t>loses(fred, car_keys).</t>
  </si>
  <si>
    <t>lost(fred,car_keys).</t>
  </si>
  <si>
    <t>lost_car_keys(fred).</t>
  </si>
  <si>
    <t>plays(peter, football).</t>
  </si>
  <si>
    <t>plays(peter,football).</t>
  </si>
  <si>
    <t>likes(john, mary).</t>
  </si>
  <si>
    <t>likes(john,mary).</t>
  </si>
  <si>
    <t>eats(fred, oranges).</t>
  </si>
  <si>
    <t>eats(fred,oranges).</t>
  </si>
  <si>
    <t>eats(fred, t_bone_steaks).</t>
  </si>
  <si>
    <t>eats(fred,t_bone_steaks).</t>
  </si>
  <si>
    <t>eats(tony, apples).</t>
  </si>
  <si>
    <t>eats(tony,apples).</t>
  </si>
  <si>
    <t>eats(john, apples).</t>
  </si>
  <si>
    <t>eats(john,apples).</t>
  </si>
  <si>
    <t>eats(john, grapefruit).</t>
  </si>
  <si>
    <t>eats(john,grapefruit).</t>
  </si>
  <si>
    <t>quantity(years, 32(john)).</t>
  </si>
  <si>
    <t>ERROR</t>
  </si>
  <si>
    <t>age(john,32).</t>
  </si>
  <si>
    <t>age(agnes, 41).</t>
  </si>
  <si>
    <t>age(agnes,41).</t>
  </si>
  <si>
    <t>age(george, 72).</t>
  </si>
  <si>
    <t>age(george,72).</t>
  </si>
  <si>
    <t>age(ian, 2).</t>
  </si>
  <si>
    <t>age(ian,2).</t>
  </si>
  <si>
    <t>age(thomas, 25).</t>
  </si>
  <si>
    <t>age(thomas,25).</t>
  </si>
  <si>
    <t>ice(ice_cream).</t>
  </si>
  <si>
    <t>fun(ice_cream).</t>
  </si>
  <si>
    <t>parent(paul).</t>
  </si>
  <si>
    <t>parent(paul,john).</t>
  </si>
  <si>
    <t>parent(tom).</t>
  </si>
  <si>
    <t>parent(paul,tom).</t>
  </si>
  <si>
    <t>parent(tom, paul).</t>
  </si>
  <si>
    <t>parent(tom,paul).</t>
  </si>
  <si>
    <t>parent(mary).</t>
  </si>
  <si>
    <t>parent(mary,tom).</t>
  </si>
  <si>
    <t>cat(tom).</t>
  </si>
  <si>
    <t>loves(kunal, eat(pasta)).</t>
  </si>
  <si>
    <t>loves(kunal,eat(pasta)).</t>
  </si>
  <si>
    <t>loves_to_eat(kunal,pasta).</t>
  </si>
  <si>
    <t>black(hair).</t>
  </si>
  <si>
    <t>hair_is(black).</t>
  </si>
  <si>
    <t>hair_color(black).</t>
  </si>
  <si>
    <t>loves(nawaz, play(games)).</t>
  </si>
  <si>
    <t>loves(nawaz,play(games)).</t>
  </si>
  <si>
    <t>loves_to_play(nawaz,games).</t>
  </si>
  <si>
    <t>lazy(pratyusha).</t>
  </si>
  <si>
    <t>fat(homer).</t>
  </si>
  <si>
    <t>male(homer).</t>
  </si>
  <si>
    <t>father(homer).</t>
  </si>
  <si>
    <t>father(homer,bart).</t>
  </si>
  <si>
    <t>kicks(itchy, scratchy).</t>
  </si>
  <si>
    <t>kicked(itchy,scratchy).</t>
  </si>
  <si>
    <t>valuable(gold).</t>
  </si>
  <si>
    <t>wet(water).</t>
  </si>
  <si>
    <t>kisses(emily, thomas).</t>
  </si>
  <si>
    <t>kissed(emily,thomas).</t>
  </si>
  <si>
    <t>kissed(emily, thomas).</t>
  </si>
  <si>
    <t>kisses(jim, sky).</t>
  </si>
  <si>
    <t>kissed(jim,sky).</t>
  </si>
  <si>
    <t>falls_on(mr_whiskers, couch).</t>
  </si>
  <si>
    <t>fell_asleep_on(mr_whiskers,couch).</t>
  </si>
  <si>
    <t>likes(mary, skiing).</t>
  </si>
  <si>
    <t>likes(mary,skiing).</t>
  </si>
  <si>
    <t>likes(john, skiing).</t>
  </si>
  <si>
    <t>likes(john,skiing).</t>
  </si>
  <si>
    <t>likes(john, flowers).</t>
  </si>
  <si>
    <t>likes(john,flowers).</t>
  </si>
  <si>
    <t>likes(mary, surprises).</t>
  </si>
  <si>
    <t>likes(mary,surprises).</t>
  </si>
  <si>
    <t>barking(dog).</t>
  </si>
  <si>
    <t>spicy(pickles).</t>
  </si>
  <si>
    <t>elephant(mary).</t>
  </si>
  <si>
    <t>fred(john).</t>
  </si>
  <si>
    <t>taller_than(john,fred).</t>
  </si>
  <si>
    <t>taller(john, fred).</t>
  </si>
  <si>
    <t>friends(raju).</t>
  </si>
  <si>
    <t>friends(raju,mahesh).</t>
  </si>
  <si>
    <t>friends(raju, mahesh).</t>
  </si>
  <si>
    <t>singer(sonu).</t>
  </si>
  <si>
    <t>odd(number(5)).</t>
  </si>
  <si>
    <t>odd(5).</t>
  </si>
  <si>
    <t>cat(whiskers).</t>
  </si>
  <si>
    <t>likes(john, fish).</t>
  </si>
  <si>
    <t>likes(john,fish).</t>
  </si>
  <si>
    <t>likes(john, susie).</t>
  </si>
  <si>
    <t>likes(john,susie).</t>
  </si>
  <si>
    <t>my_not(likes(john, pizza)).</t>
  </si>
  <si>
    <t>not(like(john,pizza)).</t>
  </si>
  <si>
    <t>not(likes(john,pizza)).</t>
  </si>
  <si>
    <t>not_likes(john,pizza).</t>
  </si>
  <si>
    <t>dislikes(john,pizza).</t>
  </si>
  <si>
    <t>man(john).</t>
  </si>
  <si>
    <t>woman(mary).</t>
  </si>
  <si>
    <t>capital(paris, france).</t>
  </si>
  <si>
    <t>capital_of(paris,france).</t>
  </si>
  <si>
    <t>capital_of(paris, france).</t>
  </si>
  <si>
    <t>parent(john, mary).</t>
  </si>
  <si>
    <t>parent(john,mary).</t>
  </si>
  <si>
    <t>party.</t>
  </si>
  <si>
    <t>party(party1).</t>
  </si>
  <si>
    <t>woman(mia).</t>
  </si>
  <si>
    <t>woman(jody).</t>
  </si>
  <si>
    <t>woman(yolanda).</t>
  </si>
  <si>
    <t>plays(jody, air_guitar).</t>
  </si>
  <si>
    <t>plays(jody,air_guitar).</t>
  </si>
  <si>
    <t>plays_air_guitar(jody).</t>
  </si>
  <si>
    <t>happy(yolanda).</t>
  </si>
  <si>
    <t>listens_to(mia, music).</t>
  </si>
  <si>
    <t>listens_to(mia,music).</t>
  </si>
  <si>
    <t>listens(mia,music).</t>
  </si>
  <si>
    <t>listens_to_music(mia).</t>
  </si>
  <si>
    <t>happy(vincent).</t>
  </si>
  <si>
    <t>listens_to(butch, music).</t>
  </si>
  <si>
    <t>listens_to(butch,music).</t>
  </si>
  <si>
    <t>listens(butch,music).</t>
  </si>
  <si>
    <t>listens_to_music(butch).</t>
  </si>
  <si>
    <t>boxer(butch).</t>
  </si>
  <si>
    <t>man(jules).</t>
  </si>
  <si>
    <t>wizard(ron).</t>
  </si>
  <si>
    <t>has(harry, wand).</t>
  </si>
  <si>
    <t>has(harry,wand).</t>
  </si>
  <si>
    <t>quidditch_player(harry).</t>
  </si>
  <si>
    <t>woman(queen_elizabeth_ii).</t>
  </si>
  <si>
    <t>man(duke_philip).</t>
  </si>
  <si>
    <t>man(prince_charles).</t>
  </si>
  <si>
    <t>woman(princess_anne).</t>
  </si>
  <si>
    <t>man(prince_andrew).</t>
  </si>
  <si>
    <t>man(prince_edward).</t>
  </si>
  <si>
    <t>woman(princess_diana).</t>
  </si>
  <si>
    <t>man(prince_william).</t>
  </si>
  <si>
    <t>man(prince_henry).</t>
  </si>
  <si>
    <t>vehicle(bicycle).</t>
  </si>
  <si>
    <t>vehicle(motorcycle).</t>
  </si>
  <si>
    <t>vehicle(car).</t>
  </si>
  <si>
    <t>is_a(car, vehicle).</t>
  </si>
  <si>
    <t>vehicle(bus).</t>
  </si>
  <si>
    <t>slow(bicycle).</t>
  </si>
  <si>
    <t>eco_friendly(bicycle).</t>
  </si>
  <si>
    <t>dangerous(car).</t>
  </si>
  <si>
    <t>has(car, petrol_engine).</t>
  </si>
  <si>
    <t>has_engine(car, petrol_engine).</t>
  </si>
  <si>
    <t>has(car,petrol_engine).</t>
  </si>
  <si>
    <t>has_engine(car,petrol).</t>
  </si>
  <si>
    <t>has(bus, petrol_engine).</t>
  </si>
  <si>
    <t>has_engine(bus, petrol_engine).</t>
  </si>
  <si>
    <t>has(bus,petrol_engine).</t>
  </si>
  <si>
    <t>has_engine(bus,petrol).</t>
  </si>
  <si>
    <t>has(train, electric(motor)).</t>
  </si>
  <si>
    <t>has(train,electric_motor).</t>
  </si>
  <si>
    <t>has_motor(train,electric).</t>
  </si>
  <si>
    <t>has(airplane, petrol_engine).</t>
  </si>
  <si>
    <t>has(airplane,petrol_engine).</t>
  </si>
  <si>
    <t>has_engine(airplane,petrol).</t>
  </si>
  <si>
    <t>slow(ship).</t>
  </si>
  <si>
    <t>has(ship, diesel_motor).</t>
  </si>
  <si>
    <t>has(ship,diesel_motor).</t>
  </si>
  <si>
    <t>has_motor(ship,diesel).</t>
  </si>
  <si>
    <t>type(flashover_arc, breakdown).</t>
  </si>
  <si>
    <t>type_of(flashover_arc,breakdown).</t>
  </si>
  <si>
    <t>type_of(flashover_arc, breakdown).</t>
  </si>
  <si>
    <t>type(puncture_arc, breakdown).</t>
  </si>
  <si>
    <t>type_of(puncture_arc,breakdown).</t>
  </si>
  <si>
    <t>type_of(puncture_arc, breakdown).</t>
  </si>
  <si>
    <t>type(surface_leakage, breakdown).</t>
  </si>
  <si>
    <t>type_of(surface_leakage,breakdown).</t>
  </si>
  <si>
    <t>door.</t>
  </si>
  <si>
    <t>position_at(position, door).</t>
  </si>
  <si>
    <t>position_at(door).</t>
  </si>
  <si>
    <t>position(door).</t>
  </si>
  <si>
    <t>window.</t>
  </si>
  <si>
    <t>position_at(position,window).</t>
  </si>
  <si>
    <t>position_at(window).</t>
  </si>
  <si>
    <t>position(window).</t>
  </si>
  <si>
    <t>corner.</t>
  </si>
  <si>
    <t>position_in(position,corner).</t>
  </si>
  <si>
    <t>position(corner).</t>
  </si>
  <si>
    <t>position_in(corner).</t>
  </si>
  <si>
    <t>important(role(father)).</t>
  </si>
  <si>
    <t>important_role(father).</t>
  </si>
  <si>
    <t>important(role(mother)).</t>
  </si>
  <si>
    <t>important_role(mother).</t>
  </si>
  <si>
    <t>important(role(son)).</t>
  </si>
  <si>
    <t>important_role(son).</t>
  </si>
  <si>
    <t>important(role(daughter)).</t>
  </si>
  <si>
    <t>important_role(daughter).</t>
  </si>
  <si>
    <t>important(role(sister)).</t>
  </si>
  <si>
    <t>important_role(sister).</t>
  </si>
  <si>
    <t>important(role(brother)).</t>
  </si>
  <si>
    <t>important_role(brother).</t>
  </si>
  <si>
    <t>blue(box).</t>
  </si>
  <si>
    <t>box(blue).</t>
  </si>
  <si>
    <t>red(box).</t>
  </si>
  <si>
    <t>box(red).</t>
  </si>
  <si>
    <t>box(b1, red).</t>
  </si>
  <si>
    <t>green(circle).</t>
  </si>
  <si>
    <t>circle(green).</t>
  </si>
  <si>
    <t>circle(c1), color(c1, green).</t>
  </si>
  <si>
    <t>circle(green). box(green).</t>
  </si>
  <si>
    <t>blue(circle).</t>
  </si>
  <si>
    <t>circle(blue).</t>
  </si>
  <si>
    <t>circle(c1), blue(c1).</t>
  </si>
  <si>
    <t>orange(triangle).</t>
  </si>
  <si>
    <t>triangle(orange).</t>
  </si>
  <si>
    <t>car.</t>
  </si>
  <si>
    <t>car(vw_beetle).</t>
  </si>
  <si>
    <t>car('VW Beetle').</t>
  </si>
  <si>
    <t>car('Ford Escort').</t>
  </si>
  <si>
    <t>car(ford_escort).</t>
  </si>
  <si>
    <t>bike.</t>
  </si>
  <si>
    <t>bike('Harley Davidson').</t>
  </si>
  <si>
    <t>bike(harley_davidson).</t>
  </si>
  <si>
    <t>red(vw_beetle).</t>
  </si>
  <si>
    <t>color(vw_beetle, red).</t>
  </si>
  <si>
    <t>red(ford_escort).</t>
  </si>
  <si>
    <t>color(ford_escort, red).</t>
  </si>
  <si>
    <t>blue(davidson_bike).</t>
  </si>
  <si>
    <t>blue(harley_davidson_bike).</t>
  </si>
  <si>
    <t>color(harley_davidson_bike, blue).</t>
  </si>
  <si>
    <t>blue(harley_davidson).</t>
  </si>
  <si>
    <t>birthday(today).</t>
  </si>
  <si>
    <t>birthday(tom,today).</t>
  </si>
  <si>
    <t>birthday(tom).</t>
  </si>
  <si>
    <t>birthday_today(fred).</t>
  </si>
  <si>
    <t>birthday(fred,today).</t>
  </si>
  <si>
    <t>birthday(fred).</t>
  </si>
  <si>
    <t>birthday(helen,today).</t>
  </si>
  <si>
    <t>birthday(helen).</t>
  </si>
  <si>
    <t>happy(mary).</t>
  </si>
  <si>
    <t>happy(jane).</t>
  </si>
  <si>
    <t>happy(helen).</t>
  </si>
  <si>
    <t>cricket(cricket_ball).</t>
  </si>
  <si>
    <t>red(cricket_ball).</t>
  </si>
  <si>
    <t>color(cricket_ball, red).</t>
  </si>
  <si>
    <t>blue(cheese).</t>
  </si>
  <si>
    <t>cheese_is(blue).</t>
  </si>
  <si>
    <t>red(hat).</t>
  </si>
  <si>
    <t>hat_color(my_hat, red).</t>
  </si>
  <si>
    <t>red(my_hat).</t>
  </si>
  <si>
    <t>blue(raleigh_bike).</t>
  </si>
  <si>
    <t>color(raleigh_bike, blue).</t>
  </si>
  <si>
    <t>red(quantity(car, 27)).</t>
  </si>
  <si>
    <t>red(car27).</t>
  </si>
  <si>
    <t>car(27, red).</t>
  </si>
  <si>
    <t>red(car_27).</t>
  </si>
  <si>
    <t>blue(honda_bike).</t>
  </si>
  <si>
    <t>color(honda_bike, blue).</t>
  </si>
  <si>
    <t>car(peugeot).</t>
  </si>
  <si>
    <t>bike(yamaha).</t>
  </si>
  <si>
    <t>car(rover).</t>
  </si>
  <si>
    <t>bike(raleigh).</t>
  </si>
  <si>
    <t>bike(honda).</t>
  </si>
  <si>
    <t>girl(priya).</t>
  </si>
  <si>
    <t>girl(tiyasha).</t>
  </si>
  <si>
    <t>girl(jaya).</t>
  </si>
  <si>
    <t>cans(priya, cook).</t>
  </si>
  <si>
    <t>can(priya,cook).</t>
  </si>
  <si>
    <t>can_cook(priya).</t>
  </si>
  <si>
    <t>sings(ananya, song).</t>
  </si>
  <si>
    <t>sings(ananya,song).</t>
  </si>
  <si>
    <t>sings_song(ananya).</t>
  </si>
  <si>
    <t>listens_to(rohit, music).</t>
  </si>
  <si>
    <t>listens_to(rohit,music).</t>
  </si>
  <si>
    <t>listens(rohit,music).</t>
  </si>
  <si>
    <t>listens_to_music(rohit).</t>
  </si>
  <si>
    <t>cans(jaya, cook).</t>
  </si>
  <si>
    <t>can(jaya,cook).</t>
  </si>
  <si>
    <t>can_cook(jaya).</t>
  </si>
  <si>
    <t>cans(tiyasha, cook).</t>
  </si>
  <si>
    <t>can_cook(tiyasha).</t>
  </si>
  <si>
    <t>can(tiyasha,cook).</t>
  </si>
  <si>
    <t>plant(grass).</t>
  </si>
  <si>
    <t>plant(berries).</t>
  </si>
  <si>
    <t>plant(nuts).</t>
  </si>
  <si>
    <t>insect(caterpillar).</t>
  </si>
  <si>
    <t>insect(butterfly).</t>
  </si>
  <si>
    <t>animal(squirrel).</t>
  </si>
  <si>
    <t>animal(goldfinch).</t>
  </si>
  <si>
    <t>animal(fox).</t>
  </si>
  <si>
    <t>animal(snake).</t>
  </si>
  <si>
    <t>animal(frog).</t>
  </si>
  <si>
    <t>animal(eagle).</t>
  </si>
  <si>
    <t>insectivore(frog).</t>
  </si>
  <si>
    <t>insectivore(goldfinch).</t>
  </si>
  <si>
    <t>brave(harry).</t>
  </si>
  <si>
    <t>loyal(harry).</t>
  </si>
  <si>
    <t>loyal(cedric).</t>
  </si>
  <si>
    <t>loyal(luna).</t>
  </si>
  <si>
    <t>fair(harry).</t>
  </si>
  <si>
    <t>fair(hermione).</t>
  </si>
  <si>
    <t>patient(cedric).</t>
  </si>
  <si>
    <t>clever(cedric).</t>
  </si>
  <si>
    <t>clever(hermione).</t>
  </si>
  <si>
    <t>curious(luna).</t>
  </si>
  <si>
    <t>man(dr_black).</t>
  </si>
  <si>
    <t>man(reverend_green).</t>
  </si>
  <si>
    <t>man(colonel_mustard).</t>
  </si>
  <si>
    <t>man(professor_plum).</t>
  </si>
  <si>
    <t>woman(mrs_peacock).</t>
  </si>
  <si>
    <t>woman(madame_rose).</t>
  </si>
  <si>
    <t>woman(miss_scarlett).</t>
  </si>
  <si>
    <t>woman(mrs_white).</t>
  </si>
  <si>
    <t>victim(dr_black).</t>
  </si>
  <si>
    <t>plays(colonel_mustard, cards).</t>
  </si>
  <si>
    <t>playing(colonel_mustard,cards).</t>
  </si>
  <si>
    <t>playing_cards(colonel_mustard).</t>
  </si>
  <si>
    <t>plays(reverend_green, cards).</t>
  </si>
  <si>
    <t>playing(reverend_green,cards).</t>
  </si>
  <si>
    <t>playing_cards(reverend_green).</t>
  </si>
  <si>
    <t>plays(mrs_peacock, cards).</t>
  </si>
  <si>
    <t>playing_cards(mrs_peacock).</t>
  </si>
  <si>
    <t>playing(mrs_peacock,cards).</t>
  </si>
  <si>
    <t>gardening(mrs_white, gardening).</t>
  </si>
  <si>
    <t>gardening(mrs_white).</t>
  </si>
  <si>
    <t>gardening(reverend_green, gardening).</t>
  </si>
  <si>
    <t>gardening(reverend_green).</t>
  </si>
  <si>
    <t>plays(professor_plum, golf).</t>
  </si>
  <si>
    <t>played(professor_plum,golf).</t>
  </si>
  <si>
    <t>played_golf(professor_plum).</t>
  </si>
  <si>
    <t>plays(colonel_mustard, golf).</t>
  </si>
  <si>
    <t>played(colonel_mustard,golf).</t>
  </si>
  <si>
    <t>played_golf(colonel_mustard).</t>
  </si>
  <si>
    <t>smoker(miss_scarlett).</t>
  </si>
  <si>
    <t>smoker(colonel_mustard).</t>
  </si>
  <si>
    <t>smoker(mrs_white).</t>
  </si>
  <si>
    <t>smoker(dr_black).</t>
  </si>
  <si>
    <t>smoker(mrs_peacock).</t>
  </si>
  <si>
    <t>exists(quantity(room, 21)).</t>
  </si>
  <si>
    <t>exists(room21).</t>
  </si>
  <si>
    <t>exists(room_21).</t>
  </si>
  <si>
    <t>room(room_21).</t>
  </si>
  <si>
    <t>exists(quantity(room, 22)).</t>
  </si>
  <si>
    <t>exists(room(22)).</t>
  </si>
  <si>
    <t>exists(room22).</t>
  </si>
  <si>
    <t>exists(room_22).</t>
  </si>
  <si>
    <t>room(room_22).</t>
  </si>
  <si>
    <t>exists(quantity(room, 23)).</t>
  </si>
  <si>
    <t>exists(room(23)).</t>
  </si>
  <si>
    <t>exists(room23).</t>
  </si>
  <si>
    <t>exists(room_23).</t>
  </si>
  <si>
    <t>room(room_23).</t>
  </si>
  <si>
    <t>exists(quantity(room, 24)).</t>
  </si>
  <si>
    <t>exists(room(24)).</t>
  </si>
  <si>
    <t>exists(room24).</t>
  </si>
  <si>
    <t>exists(room_24).</t>
  </si>
  <si>
    <t>room(room_24).</t>
  </si>
  <si>
    <t>exists(quantity(room, 25)).</t>
  </si>
  <si>
    <t>exists(room(25)).</t>
  </si>
  <si>
    <t>exists(room25).</t>
  </si>
  <si>
    <t>exists(room_25).</t>
  </si>
  <si>
    <t>room(room_25).</t>
  </si>
  <si>
    <t>owns(reverend_green, revolver).</t>
  </si>
  <si>
    <t>owns(reverend_green,revolver).</t>
  </si>
  <si>
    <t>owns(colonel_mustard, revolver).</t>
  </si>
  <si>
    <t>owns(colonel_mustard,revolver).</t>
  </si>
  <si>
    <t>owns(madame_rose, revolver).</t>
  </si>
  <si>
    <t>owns(madame_rose,revolver).</t>
  </si>
  <si>
    <t>loves(vincent, mia).</t>
  </si>
  <si>
    <t>loves(vincent,mia).</t>
  </si>
  <si>
    <t>loves(marsellus, mia).</t>
  </si>
  <si>
    <t>loves(marsellus,mia).</t>
  </si>
  <si>
    <t>loves(pumpkin, honey_bunny).</t>
  </si>
  <si>
    <t>loves(pumpkin,honey_bunny).</t>
  </si>
  <si>
    <t>loves(honey_bunny, pumpkin).</t>
  </si>
  <si>
    <t>loves(honey_bunny,pumpkin).</t>
  </si>
  <si>
    <t>kahuna_burger(burger).</t>
  </si>
  <si>
    <t>big(burger),kahuna_burger(burger).</t>
  </si>
  <si>
    <t>burger(X) :- big(X), kahuna_burger(X).</t>
  </si>
  <si>
    <t>big(burger). kahuna_burger(burger).</t>
  </si>
  <si>
    <t>kahuna(big(Everything), big).</t>
  </si>
  <si>
    <t>kahuna(X) :- big(X).</t>
  </si>
  <si>
    <t>kills(butch, vincent).</t>
  </si>
  <si>
    <t>kills(butch,vincent).</t>
  </si>
  <si>
    <t>mother(queen_elizabeth_ii, prince_charles).</t>
  </si>
  <si>
    <t>mother(queen_elizabeth_ii,prince_charles).</t>
  </si>
  <si>
    <t>mother(queen_elizabeth_ii, princess_anne).</t>
  </si>
  <si>
    <t>mother(queen_elizabeth_ii,princess_anne).</t>
  </si>
  <si>
    <t>mother(queen_elizabeth_ii, prince_andrew).</t>
  </si>
  <si>
    <t>mother(queen_elizabeth_ii,prince_andrew).</t>
  </si>
  <si>
    <t>mother(queen_elizabeth_ii, prince_edward).</t>
  </si>
  <si>
    <t>mother(queen_elizabeth_ii,prince_edward).</t>
  </si>
  <si>
    <t>father(duke_philip, prince_charles).</t>
  </si>
  <si>
    <t>father(philip,charles).</t>
  </si>
  <si>
    <t>father(duke_philip,prince_charles).</t>
  </si>
  <si>
    <t>father(duke_philip, princess_anne).</t>
  </si>
  <si>
    <t>father(duke_philip,princess_anne).</t>
  </si>
  <si>
    <t>father(duke_philip, prince_andrew).</t>
  </si>
  <si>
    <t>father(duke_philip,prince_andrew).</t>
  </si>
  <si>
    <t>father(duke_philip, prince_edward).</t>
  </si>
  <si>
    <t>father(philip, edward).</t>
  </si>
  <si>
    <t>father(duke_philip,prince_edward).</t>
  </si>
  <si>
    <t>father(prince_charles, prince_william).</t>
  </si>
  <si>
    <t>father(prince_charles,prince_william).</t>
  </si>
  <si>
    <t>father(prince_charles, prince_henry).</t>
  </si>
  <si>
    <t>father(prince_charles,prince_henry).</t>
  </si>
  <si>
    <t>mother(princess_diana, prince_william).</t>
  </si>
  <si>
    <t>mother(princess_diana,prince_william).</t>
  </si>
  <si>
    <t>mother(princess_diana, prince_henry).</t>
  </si>
  <si>
    <t>mother(princess_diana,prince_henry).</t>
  </si>
  <si>
    <t>quantity(wardrobe, 1).</t>
  </si>
  <si>
    <t>wardrobe(1).</t>
  </si>
  <si>
    <t>count(wardrobe,1).</t>
  </si>
  <si>
    <t>quantity(bookshelf, 1).</t>
  </si>
  <si>
    <t>bookshelf(1).</t>
  </si>
  <si>
    <t>count(bookshelf,1).</t>
  </si>
  <si>
    <t>quantity(bed, 1).</t>
  </si>
  <si>
    <t>bed(1).</t>
  </si>
  <si>
    <t>count(bed,1).</t>
  </si>
  <si>
    <t>quantity(desk, 1).</t>
  </si>
  <si>
    <t>desk(1).</t>
  </si>
  <si>
    <t>count(desk,1).</t>
  </si>
  <si>
    <t>quantity(chair, 1).</t>
  </si>
  <si>
    <t>chair(1).</t>
  </si>
  <si>
    <t>count(chair,1).</t>
  </si>
  <si>
    <t>quantity(door, 1).</t>
  </si>
  <si>
    <t>door(1).</t>
  </si>
  <si>
    <t>count(door,1).</t>
  </si>
  <si>
    <t>quantity(windows, 2).</t>
  </si>
  <si>
    <t>count(window,2).</t>
  </si>
  <si>
    <t>windows(2).</t>
  </si>
  <si>
    <t>bookshelf(door).</t>
  </si>
  <si>
    <t>left_of(door, bookshelf).</t>
  </si>
  <si>
    <t>left_of(door,bookshelf).</t>
  </si>
  <si>
    <t>bed(bookshelf).</t>
  </si>
  <si>
    <t>left_of(bookshelf, bed).</t>
  </si>
  <si>
    <t>left_of(bookshelf,bed).</t>
  </si>
  <si>
    <t>desk(bed).</t>
  </si>
  <si>
    <t>left_of(bed,desk).</t>
  </si>
  <si>
    <t>wardrobe(desk).</t>
  </si>
  <si>
    <t>left_of(desk,wardrobe).</t>
  </si>
  <si>
    <t>door(wardrobe).</t>
  </si>
  <si>
    <t>left_of(wardrobe,door).</t>
  </si>
  <si>
    <t>left_of(wardrobe, door).</t>
  </si>
  <si>
    <t>has_of(austria, quantity(square(kilometers), 83858)).</t>
  </si>
  <si>
    <t>has_area(austria,83858).</t>
  </si>
  <si>
    <t>area(austria, 83858).</t>
  </si>
  <si>
    <t>area(austria,83858).</t>
  </si>
  <si>
    <t>has_of(france, quantity(square(kilometers), 547030)).</t>
  </si>
  <si>
    <t>has_area(france,547030).</t>
  </si>
  <si>
    <t>area(france, 547030, square_kilometers).</t>
  </si>
  <si>
    <t>area(france,547030).</t>
  </si>
  <si>
    <t>has_of(germany, quantity(square(kilometers), 357021)).</t>
  </si>
  <si>
    <t>has_area(germany,357021).</t>
  </si>
  <si>
    <t>area(germany, 357021, square_kilometers).</t>
  </si>
  <si>
    <t>area(germany,357021).</t>
  </si>
  <si>
    <t>has_of(italy, quantity(square(kilometers), 301230)).</t>
  </si>
  <si>
    <t>area(italy,301230).</t>
  </si>
  <si>
    <t>area(italy, 301230, square_kilometers).</t>
  </si>
  <si>
    <t>has_of(liechtenstein, quantity(square(kilometers), 160)).</t>
  </si>
  <si>
    <t>area(liechtenstein,160).</t>
  </si>
  <si>
    <t>area(liechtenstein,160,square_kilometers).</t>
  </si>
  <si>
    <t>has_of(spain, quantity(square(kilometers), 504851)).</t>
  </si>
  <si>
    <t>has_area(spain,504851).</t>
  </si>
  <si>
    <t>area(spain, 504851, square_kilometers).</t>
  </si>
  <si>
    <t>area(spain,504851).</t>
  </si>
  <si>
    <t>has_of(switzerland, quantity(square(kilometers), 41290)).</t>
  </si>
  <si>
    <t>area(switzerland,41290).</t>
  </si>
  <si>
    <t>area(switzerland, 41290, square_kilometers).</t>
  </si>
  <si>
    <t>has_of(united_kingdom, quantity(square(kilometers), 244820)).</t>
  </si>
  <si>
    <t>area(united_kingdom,244820).</t>
  </si>
  <si>
    <t>area(united_kingdom, 244820, square_kilometers).</t>
  </si>
  <si>
    <t>has_of(austria, quantity(people, 8169929)).</t>
  </si>
  <si>
    <t>population(austria,8169929).</t>
  </si>
  <si>
    <t>population(austria, 8169929).</t>
  </si>
  <si>
    <t>has_of(france, quantity(people, 63182000)).</t>
  </si>
  <si>
    <t>population(france,63182000).</t>
  </si>
  <si>
    <t>has_of(germany, quantity(people, 83251851)).</t>
  </si>
  <si>
    <t>population(germany,83251851).</t>
  </si>
  <si>
    <t>population(germany, 83251851).</t>
  </si>
  <si>
    <t>has_of(italy, quantity(people, 59530464)).</t>
  </si>
  <si>
    <t>population(italy,59530464).</t>
  </si>
  <si>
    <t>has_of(liechtenstein, quantity(people, 32842)).</t>
  </si>
  <si>
    <t>population(liechtenstein,32842).</t>
  </si>
  <si>
    <t>population(liechtenstein, 32842).</t>
  </si>
  <si>
    <t>has_of(spain, quantity(people, 47059533)).</t>
  </si>
  <si>
    <t>population(spain,47059533).</t>
  </si>
  <si>
    <t>has_of(switzerland, quantity(people, 7507000)).</t>
  </si>
  <si>
    <t>population(switzerland,7507000).</t>
  </si>
  <si>
    <t>has_of(united_kingdom, quantity(people, 61100835)).</t>
  </si>
  <si>
    <t>population(united_kingdom,61100835).</t>
  </si>
  <si>
    <t>population(united_kingdom, 61100835).</t>
  </si>
  <si>
    <t>shares_with(austria, switzerland).</t>
  </si>
  <si>
    <t>shares_border(austria,switzerland).</t>
  </si>
  <si>
    <t>borders(austria, switzerland).</t>
  </si>
  <si>
    <t>border(switzerland,austria).</t>
  </si>
  <si>
    <t>borders(austria,switzerland).</t>
  </si>
  <si>
    <t>shares_with(france, switzerland).</t>
  </si>
  <si>
    <t>shares_border(france, switzerland).</t>
  </si>
  <si>
    <t>borders(france, switzerland).</t>
  </si>
  <si>
    <t>border(switzerland,france).</t>
  </si>
  <si>
    <t>borders(france,switzerland).</t>
  </si>
  <si>
    <t>shares_with(france, germany).</t>
  </si>
  <si>
    <t>shares_border(france,germany).</t>
  </si>
  <si>
    <t>border(france,germany).</t>
  </si>
  <si>
    <t>border(germany,france).</t>
  </si>
  <si>
    <t>borders(france,germany).</t>
  </si>
  <si>
    <t>shares_with(france, spain).</t>
  </si>
  <si>
    <t>shares_border(france, spain).</t>
  </si>
  <si>
    <t>borders(france, spain).</t>
  </si>
  <si>
    <t>border(spain,france).</t>
  </si>
  <si>
    <t>borders(france,spain).</t>
  </si>
  <si>
    <t>shares_with(germany, switzerland).</t>
  </si>
  <si>
    <t>shares_border(germany, switzerland).</t>
  </si>
  <si>
    <t>border(germany,switzerland).</t>
  </si>
  <si>
    <t>border(switzerland,germany).</t>
  </si>
  <si>
    <t>borders(germany,switzerland).</t>
  </si>
  <si>
    <t>shares_with(italy, switzerland).</t>
  </si>
  <si>
    <t>shares_border(italy, switzerland).</t>
  </si>
  <si>
    <t>border(italy,switzerland).</t>
  </si>
  <si>
    <t>border(switzerland,italy).</t>
  </si>
  <si>
    <t>borders(italy,switzerland).</t>
  </si>
  <si>
    <t>shares_with(liechtenstein, switzerland).</t>
  </si>
  <si>
    <t>shares_border(liechtenstein, switzerland).</t>
  </si>
  <si>
    <t>borders(liechtenstein,switzerland).</t>
  </si>
  <si>
    <t>border(switzerland,liechtenstein).</t>
  </si>
  <si>
    <t>fast(car).</t>
  </si>
  <si>
    <t>moderately(fast(car)).</t>
  </si>
  <si>
    <t>fast(car, moderate).</t>
  </si>
  <si>
    <t>moderately_fast(car).</t>
  </si>
  <si>
    <t>speed(car,moderately_fast).</t>
  </si>
  <si>
    <t>fast(bus).</t>
  </si>
  <si>
    <t>rather_fast(bus).</t>
  </si>
  <si>
    <t>speed(bus,rather_fast).</t>
  </si>
  <si>
    <t>medium(train).</t>
  </si>
  <si>
    <t>fast(train,medium).</t>
  </si>
  <si>
    <t>fast(train, medium).</t>
  </si>
  <si>
    <t>medium_fast(train).</t>
  </si>
  <si>
    <t>speed(train,medium_fast).</t>
  </si>
  <si>
    <t>fast(airplane).</t>
  </si>
  <si>
    <t>very_fast(airplane).</t>
  </si>
  <si>
    <t>speed(airplane,very_fast).</t>
  </si>
  <si>
    <t>causes(high(voltage), flashover_arc).</t>
  </si>
  <si>
    <t>caused_by(flashover_arc, high_voltage).</t>
  </si>
  <si>
    <t>caused_by(flashover_arc,high_voltage).</t>
  </si>
  <si>
    <t>causes(lightning_strike, high(voltage)).</t>
  </si>
  <si>
    <t>caused_by(high_voltage, lightning_strike).</t>
  </si>
  <si>
    <t>caused_by(high_voltage,lightning_strike).</t>
  </si>
  <si>
    <t>causes(faulty(material), puncture_arc).</t>
  </si>
  <si>
    <t>caused_by(puncture_arc,faulty_material).</t>
  </si>
  <si>
    <t>causes(material, puncture_arc).</t>
  </si>
  <si>
    <t>caused_by(puncture_arc,cracked_material).</t>
  </si>
  <si>
    <t>An error occurred during post-processing sentence parsing.</t>
  </si>
  <si>
    <t>caused(surface_leakage, when(and(dirty(surface), wet(surface)))).</t>
  </si>
  <si>
    <t>caused(surface_leakage) :- dirty(surface), wet(surface).</t>
  </si>
  <si>
    <t>caused_by(surface_leakage,dirty_and_wet_surface).</t>
  </si>
  <si>
    <t>caused_when(surface_leakage, composite_polymer_material).</t>
  </si>
  <si>
    <t>caused_by(surface_leakage, composite_polymer).</t>
  </si>
  <si>
    <t>caused_by(surface_leakage,composite_polymer).</t>
  </si>
  <si>
    <t>caused_by(surface_leakage,composite_polymer_material).</t>
  </si>
  <si>
    <t>results_in(puncture_arc,damage).</t>
  </si>
  <si>
    <t>results_in(puncture_arc, damage).</t>
  </si>
  <si>
    <t>leads(damage, insulator).</t>
  </si>
  <si>
    <t>leads_to(damage,replacing(insulator)).</t>
  </si>
  <si>
    <t>leads_to(damage, replace(insulator)).</t>
  </si>
  <si>
    <t>leads_to(damage,replacing_insulator).</t>
  </si>
  <si>
    <t>results_in(surface_leakage, creepage_path).</t>
  </si>
  <si>
    <t>creepage_path_results_from(surface_leakage).</t>
  </si>
  <si>
    <t>results_in(surface_leakage,creepage_path).</t>
  </si>
  <si>
    <t>results_in(surface_leakage,creePage_path).</t>
  </si>
  <si>
    <t>leads(creepage_path, insulator).</t>
  </si>
  <si>
    <t>leads_to(creepage_path,replacing(insulator)).</t>
  </si>
  <si>
    <t>leads_to(creepage_path,replacing_insulator).</t>
  </si>
  <si>
    <t>leads_to(creePage_path,replacing_insulator).</t>
  </si>
  <si>
    <t>beats(adam, bob).</t>
  </si>
  <si>
    <t>beats(adam,bob).</t>
  </si>
  <si>
    <t>beats(adam, carlo).</t>
  </si>
  <si>
    <t>beats(adam,carlo).</t>
  </si>
  <si>
    <t>beats(bob, daniel).</t>
  </si>
  <si>
    <t>beats(bob,daniel).</t>
  </si>
  <si>
    <t>beats(carlo, daniel).</t>
  </si>
  <si>
    <t>beats(carlo,daniel).</t>
  </si>
  <si>
    <t>state(switzerland).</t>
  </si>
  <si>
    <t>state(germany).</t>
  </si>
  <si>
    <t>state(italy).</t>
  </si>
  <si>
    <t>likes(john, trains).</t>
  </si>
  <si>
    <t>likes(john,trains).</t>
  </si>
  <si>
    <t>likes(peter, fast(cars)).</t>
  </si>
  <si>
    <t>likes(peter,fast_cars).</t>
  </si>
  <si>
    <t>likes(peter, fast_cars).</t>
  </si>
  <si>
    <t>trainspotting(hobby).</t>
  </si>
  <si>
    <t>hobby(john,trainspotting).</t>
  </si>
  <si>
    <t>hobby(john, trainspotting).</t>
  </si>
  <si>
    <t>sailing(hobby).</t>
  </si>
  <si>
    <t>hobby(tim,sailing).</t>
  </si>
  <si>
    <t>hobby(helen,trainspotting).</t>
  </si>
  <si>
    <t>hobby(helen, trainspotting).</t>
  </si>
  <si>
    <t>hobby(simon,sailing).</t>
  </si>
  <si>
    <t>has(flu, symptom(symptom_fever)).</t>
  </si>
  <si>
    <t>has_symptom(flu,fever).</t>
  </si>
  <si>
    <t>symptom(flu, fever).</t>
  </si>
  <si>
    <t>symptom(flu,fever).</t>
  </si>
  <si>
    <t>has(flu, symptom(symptom_headache)).</t>
  </si>
  <si>
    <t>has_symptom(flu,headache).</t>
  </si>
  <si>
    <t>symptom(flu, headache).</t>
  </si>
  <si>
    <t>symptom(flu,headache).</t>
  </si>
  <si>
    <t>has(flu, body_aches).</t>
  </si>
  <si>
    <t>has_symptom(flu,body_aches).</t>
  </si>
  <si>
    <t>symptom(flu, body_aches).</t>
  </si>
  <si>
    <t>symptom(flu,body_aches).</t>
  </si>
  <si>
    <t>has(flu, symptom(symptom_cough)).</t>
  </si>
  <si>
    <t>has_symptom(flu,cough).</t>
  </si>
  <si>
    <t>symptom(flu,cough).</t>
  </si>
  <si>
    <t>has(flu, symptom(sore(throat))).</t>
  </si>
  <si>
    <t>has_symptom(flu,sore_throat).</t>
  </si>
  <si>
    <t>symptom(flu, sore_throat).</t>
  </si>
  <si>
    <t>symptom(flu,sore_throat).</t>
  </si>
  <si>
    <t>has(flu, runny(nose)).</t>
  </si>
  <si>
    <t>has_symptom(flu, runny_nose).</t>
  </si>
  <si>
    <t>symptom(flu, runny_nose).</t>
  </si>
  <si>
    <t>symptom(flu,runny_nose).</t>
  </si>
  <si>
    <t>has(allergy, symptom_sneezing).</t>
  </si>
  <si>
    <t>has_symptom(allergy,sneezing).</t>
  </si>
  <si>
    <t>symptom(allergy,sneezing).</t>
  </si>
  <si>
    <t>has(allergy, watery(eyes)).</t>
  </si>
  <si>
    <t>symptom(allergy,watery_eyes).</t>
  </si>
  <si>
    <t>has(allergy, runny(nose)).</t>
  </si>
  <si>
    <t>symptom(allergy,runny_nose).</t>
  </si>
  <si>
    <t>symptom(allergy, runny_nose).</t>
  </si>
  <si>
    <t>has(allergy, itchy(eyes)).</t>
  </si>
  <si>
    <t>symptom(allergy, itchy_eyes).</t>
  </si>
  <si>
    <t>symptom(allergy,itchy_eyes).</t>
  </si>
  <si>
    <t>has(cold, symptom_sneezing).</t>
  </si>
  <si>
    <t>has_symptom(cold,sneezing).</t>
  </si>
  <si>
    <t>symptom(cold,sneezing).</t>
  </si>
  <si>
    <t>has(cold, watery(eyes)).</t>
  </si>
  <si>
    <t>has_symptom(cold,watery_eyes).</t>
  </si>
  <si>
    <t>symptom(cold,watery_eyes).</t>
  </si>
  <si>
    <t>has(cold, runny(nose)).</t>
  </si>
  <si>
    <t>has_symptom(cold, runny_nose).</t>
  </si>
  <si>
    <t>symptom(cold,runny_nose).</t>
  </si>
  <si>
    <t>has(cold, symptom(symptom_cough)).</t>
  </si>
  <si>
    <t>has_symptom(cold,cough).</t>
  </si>
  <si>
    <t>symptom(cold,cough).</t>
  </si>
  <si>
    <t>has(cold, sore(throat)).</t>
  </si>
  <si>
    <t>has_symptom(cold,sore_throat).</t>
  </si>
  <si>
    <t>symptom(cold,sore_throat).</t>
  </si>
  <si>
    <t>eats(caterpillar, grass).</t>
  </si>
  <si>
    <t>eats(caterpillar,grass).</t>
  </si>
  <si>
    <t>eats(butterfly, berries).</t>
  </si>
  <si>
    <t>eats(butterfly,berries).</t>
  </si>
  <si>
    <t>eats(goldfinch, berries).</t>
  </si>
  <si>
    <t>eats(goldfinch,berries).</t>
  </si>
  <si>
    <t>eats(squirrel, nuts).</t>
  </si>
  <si>
    <t>eats(squirrel,nuts).</t>
  </si>
  <si>
    <t>eats(fox, squirrel).</t>
  </si>
  <si>
    <t>eats(fox,squirrel).</t>
  </si>
  <si>
    <t>eats(fox, goldfinch).</t>
  </si>
  <si>
    <t>eats(fox,goldfinch).</t>
  </si>
  <si>
    <t>eats(snake, goldfinch).</t>
  </si>
  <si>
    <t>eats(snake,goldfinch).</t>
  </si>
  <si>
    <t>eats(snake, frog).</t>
  </si>
  <si>
    <t>eats(snake,frog).</t>
  </si>
  <si>
    <t>eats(eagle, frog).</t>
  </si>
  <si>
    <t>eats(eagle,frog).</t>
  </si>
  <si>
    <t>eats(eagle, snake).</t>
  </si>
  <si>
    <t>eats(eagle,snake).</t>
  </si>
  <si>
    <t>eats(eagle, goldfinch).</t>
  </si>
  <si>
    <t>eats(eagle,goldfinch).</t>
  </si>
  <si>
    <t>friend(hermione, harry).</t>
  </si>
  <si>
    <t>friend(hermione,harry).</t>
  </si>
  <si>
    <t>friend(ron, harry).</t>
  </si>
  <si>
    <t>friend(ron,harry).</t>
  </si>
  <si>
    <t>enemy(malfoy, harry).</t>
  </si>
  <si>
    <t>enemy_of(malfoy, harry).</t>
  </si>
  <si>
    <t>enemy(malfoy,harry).</t>
  </si>
  <si>
    <t>stays_in(dr_black, quantity(room, 22)).</t>
  </si>
  <si>
    <t>stays_in(dr_black, room_22).</t>
  </si>
  <si>
    <t>stays_in(dr_black, room22).</t>
  </si>
  <si>
    <t>stays(dr_black,room_22).</t>
  </si>
  <si>
    <t>stays_in(dr_black,room_22).</t>
  </si>
  <si>
    <t>stays_in(reverend_green, quantity(room, 24)).</t>
  </si>
  <si>
    <t>stays_in(reverend_green, room_24).</t>
  </si>
  <si>
    <t>stays_in(reverend_green, room24).</t>
  </si>
  <si>
    <t>stays(reverend_green,room_24).</t>
  </si>
  <si>
    <t>stays_in(reverend_green,room_24).</t>
  </si>
  <si>
    <t>stays_in(miss_scarlett, quantity(room, 21)).</t>
  </si>
  <si>
    <t>stays_in(miss_scarlett, room21).</t>
  </si>
  <si>
    <t>stays(miss_scarlett,room_21).</t>
  </si>
  <si>
    <t>stays_in(miss_scarlett,room_21).</t>
  </si>
  <si>
    <t>stays_in(colonel_mustard, quantity(room, 24)).</t>
  </si>
  <si>
    <t>stays_in(colonel_mustard, room_24).</t>
  </si>
  <si>
    <t>stays(colonel_mustard,room_24).</t>
  </si>
  <si>
    <t>stays_in(colonel_mustard,room_24).</t>
  </si>
  <si>
    <t>stays_in(professor_plum, quantity(room, 22)).</t>
  </si>
  <si>
    <t>stays_in(professor_plum,room_22).</t>
  </si>
  <si>
    <t>stays_in(professor_plum, room_22).</t>
  </si>
  <si>
    <t>stays(professor_plum,room_22).</t>
  </si>
  <si>
    <t>stays_in(mrs_peacock, quantity(room, 23)).</t>
  </si>
  <si>
    <t>stays_in(mrs_peacock, room_23).</t>
  </si>
  <si>
    <t>stays_in(mrs_peacock, room23).</t>
  </si>
  <si>
    <t>stays(mrs_peacock,room_23).</t>
  </si>
  <si>
    <t>stays_in(mrs_peacock,room_23).</t>
  </si>
  <si>
    <t>stays_in(madame_rose, quantity(room, 21)).</t>
  </si>
  <si>
    <t>stays_in(madame_rose, room_21).</t>
  </si>
  <si>
    <t>stays_in(madame_rose, room21).</t>
  </si>
  <si>
    <t>stays(madame_rose,room_21).</t>
  </si>
  <si>
    <t>stays_in(madame_rose,room_21).</t>
  </si>
  <si>
    <t>stays_in(mrs_white, quantity(room, 23)).</t>
  </si>
  <si>
    <t>stays_in(mrs_white, room_23).</t>
  </si>
  <si>
    <t>stays_in(mrs_white, room23).</t>
  </si>
  <si>
    <t>stays(mrs_white,room_23).</t>
  </si>
  <si>
    <t>stays_in(mrs_white,room_23).</t>
  </si>
  <si>
    <t>parent(Everyone).</t>
  </si>
  <si>
    <t>parent(everyone).</t>
  </si>
  <si>
    <t>parent(X) :- person(X).</t>
  </si>
  <si>
    <t>likes(Everyone, susie).</t>
  </si>
  <si>
    <t>likes(everyone,susie).</t>
  </si>
  <si>
    <t>likes(X, susie) :- person(X).</t>
  </si>
  <si>
    <t>likes(john, Everybody).</t>
  </si>
  <si>
    <t>likes(john,everybody).</t>
  </si>
  <si>
    <t>likes(john, X) :- person(X).</t>
  </si>
  <si>
    <t>?- food(pizza).</t>
  </si>
  <si>
    <t>?- meal(food, lunch).</t>
  </si>
  <si>
    <t>?- food(X), meal(X), lunch(X).</t>
  </si>
  <si>
    <t>food(X) :- meal(X), lunch(X).</t>
  </si>
  <si>
    <t>?- dinner(sandwich).</t>
  </si>
  <si>
    <t>dinner(sandwich).</t>
  </si>
  <si>
    <t>?- study(charlie, What).</t>
  </si>
  <si>
    <t>?- studies(charlie, What).</t>
  </si>
  <si>
    <t>?- study(charlie,X).</t>
  </si>
  <si>
    <t>study(charlie, What).</t>
  </si>
  <si>
    <t>?- students(Who).</t>
  </si>
  <si>
    <t>?- student_of(Student, professor_kirke).</t>
  </si>
  <si>
    <t>?- student_of(X,professor_kirke).</t>
  </si>
  <si>
    <t>student_of(Who, professor_kirke).</t>
  </si>
  <si>
    <t>?- owns(john, What).</t>
  </si>
  <si>
    <t>?- own(john, X).</t>
  </si>
  <si>
    <t>?- own(john,X).</t>
  </si>
  <si>
    <t>own(john, What).</t>
  </si>
  <si>
    <t>?- owns(john, Something).</t>
  </si>
  <si>
    <t>?- own(john, _).</t>
  </si>
  <si>
    <t>?- owns(john, _).</t>
  </si>
  <si>
    <t>?- own(john,_).</t>
  </si>
  <si>
    <t>own(john, _).</t>
  </si>
  <si>
    <t>?- owns(Who, car_chevy).</t>
  </si>
  <si>
    <t>?- owns(Who,car(chevy)).</t>
  </si>
  <si>
    <t>?- owns(_, car(chevy)).</t>
  </si>
  <si>
    <t>?- own(X,car_chevy).</t>
  </si>
  <si>
    <t>own(Who, car_chevy).</t>
  </si>
  <si>
    <t>?- does(own(sedan), own).</t>
  </si>
  <si>
    <t>?- own(jane,sedan).</t>
  </si>
  <si>
    <t>?- own(jane, sedan).</t>
  </si>
  <si>
    <t>own(jane, sedan).</t>
  </si>
  <si>
    <t>?- does(own(truck), own).</t>
  </si>
  <si>
    <t>?- own(jane,truck).</t>
  </si>
  <si>
    <t>?- owns(jane,truck).</t>
  </si>
  <si>
    <t>own(jane, truck).</t>
  </si>
  <si>
    <t>?- loves(Who, What).</t>
  </si>
  <si>
    <t>?- love(X,Y).</t>
  </si>
  <si>
    <t>love(Who, What).</t>
  </si>
  <si>
    <t>?- owns(mary, Something).</t>
  </si>
  <si>
    <t>?- owns(mary, _).</t>
  </si>
  <si>
    <t>?- own(mary,_).</t>
  </si>
  <si>
    <t>own(mary, _).</t>
  </si>
  <si>
    <t>?- eats(john, apples).</t>
  </si>
  <si>
    <t>?- eats(john,apples).</t>
  </si>
  <si>
    <t>?- eat(john,apples).</t>
  </si>
  <si>
    <t>eat(john, apples).</t>
  </si>
  <si>
    <t>?- eats(mike, apples).</t>
  </si>
  <si>
    <t>?- eat(mike,apples).</t>
  </si>
  <si>
    <t>eat(mike, apples).</t>
  </si>
  <si>
    <t>?- eats(fred, oranges).</t>
  </si>
  <si>
    <t>?- eat(fred,oranges).</t>
  </si>
  <si>
    <t>?- eats(fred,oranges).</t>
  </si>
  <si>
    <t>eat(fred, oranges).</t>
  </si>
  <si>
    <t>?- eats(fred, apples).</t>
  </si>
  <si>
    <t>?- eat(fred,apples).</t>
  </si>
  <si>
    <t>eat(fred, apples).</t>
  </si>
  <si>
    <t>?- quantity(years, 2(old(ian))).</t>
  </si>
  <si>
    <t>?- age(ian,2).</t>
  </si>
  <si>
    <t>?- age(ian, 2).</t>
  </si>
  <si>
    <t>relation(they).</t>
  </si>
  <si>
    <t>?- relation(agnes,41).</t>
  </si>
  <si>
    <t>relation(agnes,41).</t>
  </si>
  <si>
    <t>relation(agnes, 41).</t>
  </si>
  <si>
    <t>?- eats(fred, What).</t>
  </si>
  <si>
    <t>?- eat(fred, What).</t>
  </si>
  <si>
    <t>?- eat(fred,X).</t>
  </si>
  <si>
    <t>eat(fred, What).</t>
  </si>
  <si>
    <t>?- love(john, Who).</t>
  </si>
  <si>
    <t>?- loves(john, Who).</t>
  </si>
  <si>
    <t>?- love(john,X).</t>
  </si>
  <si>
    <t>love(john, Who).</t>
  </si>
  <si>
    <t>?- loves(arnold, Anybody).</t>
  </si>
  <si>
    <t>?- love(arnold, _).</t>
  </si>
  <si>
    <t>?- loves(arnold, _).</t>
  </si>
  <si>
    <t>?- love(arnold,_).</t>
  </si>
  <si>
    <t>love(arnold, _).</t>
  </si>
  <si>
    <t>?- does(fred_love).</t>
  </si>
  <si>
    <t>?- love(fred, Who).</t>
  </si>
  <si>
    <t>?- loves(fred, Who).</t>
  </si>
  <si>
    <t>?- love(fred,X).</t>
  </si>
  <si>
    <t>love(fred, Who).</t>
  </si>
  <si>
    <t>?- cat(tom).</t>
  </si>
  <si>
    <t>?- loves(kunal, eat(pasta)).</t>
  </si>
  <si>
    <t>?- love(kunal,eat(pasta)).</t>
  </si>
  <si>
    <t>love_to_eat(kunal, pasta).</t>
  </si>
  <si>
    <t>?- happy(lili).</t>
  </si>
  <si>
    <t>happy(lili).</t>
  </si>
  <si>
    <t>?- goes(ryan, play).</t>
  </si>
  <si>
    <t>?- will_go(ryan, play).</t>
  </si>
  <si>
    <t>?- go(ryan,play).</t>
  </si>
  <si>
    <t>go_to_play(ryan).</t>
  </si>
  <si>
    <t>?- likes_like(john, mary).</t>
  </si>
  <si>
    <t>?- like(john,mary).</t>
  </si>
  <si>
    <t>?- likes(john,mary).</t>
  </si>
  <si>
    <t>like(john, mary).</t>
  </si>
  <si>
    <t>?- john(What).</t>
  </si>
  <si>
    <t>?- likes(john,X).</t>
  </si>
  <si>
    <t>?- likes(john, X).</t>
  </si>
  <si>
    <t>?- like(john,X).</t>
  </si>
  <si>
    <t>like(john, What).</t>
  </si>
  <si>
    <t>?- likes(Who, skiing).</t>
  </si>
  <si>
    <t>?- likes(X, skiing).</t>
  </si>
  <si>
    <t>?- like(X,skiing).</t>
  </si>
  <si>
    <t>like(Who, skiing).</t>
  </si>
  <si>
    <t>?- likes(nadine, What).</t>
  </si>
  <si>
    <t>?- likes(nadine, X).</t>
  </si>
  <si>
    <t>?- like(nadine,X).</t>
  </si>
  <si>
    <t>like(nadine, What).</t>
  </si>
  <si>
    <t>?- do(people, like).</t>
  </si>
  <si>
    <t>?- like(people, Things).</t>
  </si>
  <si>
    <t>?- likes(Person, Thing).</t>
  </si>
  <si>
    <t>?- like(X,Y).</t>
  </si>
  <si>
    <t>like(Person, Thing).</t>
  </si>
  <si>
    <t>?- likes(Who, themselves).</t>
  </si>
  <si>
    <t>?- likes(X,X).</t>
  </si>
  <si>
    <t>?- likes(X, X).</t>
  </si>
  <si>
    <t>?- like(X,X).</t>
  </si>
  <si>
    <t>like(Who, Who).</t>
  </si>
  <si>
    <t>?- capital(france, Capital).</t>
  </si>
  <si>
    <t>?- capital(france,X).</t>
  </si>
  <si>
    <t>capital(france, What).</t>
  </si>
  <si>
    <t>?- associates(symptom_sneezing, condition).</t>
  </si>
  <si>
    <t>?- associated_with(Condition, symptom(sneezing)).</t>
  </si>
  <si>
    <t>associated_condition(Condition) :- has_symptom(Condition,sneezing).</t>
  </si>
  <si>
    <t>associated_with(condition, sneezing).</t>
  </si>
  <si>
    <t>associated_condition(sneezing, Condition).</t>
  </si>
  <si>
    <t>?- herbivore(butterfly).</t>
  </si>
  <si>
    <t>herbivore(butterfly).</t>
  </si>
  <si>
    <t>?- herbivore(fox).</t>
  </si>
  <si>
    <t>herbivore(fox).</t>
  </si>
  <si>
    <t>?- my_is(omnivore).</t>
  </si>
  <si>
    <t>?- omnivore(goldfinch).</t>
  </si>
  <si>
    <t>omnivore(goldfinch).</t>
  </si>
  <si>
    <t>?- predator(fox, squirrel).</t>
  </si>
  <si>
    <t>?- predator_of(fox, squirrel).</t>
  </si>
  <si>
    <t>predator_of(fox, squirrel).</t>
  </si>
  <si>
    <t>?- animal(What).</t>
  </si>
  <si>
    <t>?- animal(X).</t>
  </si>
  <si>
    <t>animal(X).</t>
  </si>
  <si>
    <t>animal(Animal).</t>
  </si>
  <si>
    <t>?- herbivores(animals).</t>
  </si>
  <si>
    <t>?- herbivore(Animal).</t>
  </si>
  <si>
    <t>herbivore(X).</t>
  </si>
  <si>
    <t>herbivore(Animal).</t>
  </si>
  <si>
    <t>?- does(goldfinch_predator, goldfinch).</t>
  </si>
  <si>
    <t>?- predator(goldfinch, X).</t>
  </si>
  <si>
    <t>predator(goldfinch, X).</t>
  </si>
  <si>
    <t>predator_of(goldfinch, X).</t>
  </si>
  <si>
    <t>predator_of(goldfinch, Prey).</t>
  </si>
  <si>
    <t>?- level(fox, food_pyramid).</t>
  </si>
  <si>
    <t>?- level_in_food_pyramid(fox, Level).</t>
  </si>
  <si>
    <t>food_pyramid_level(fox, tertiary_consumer).</t>
  </si>
  <si>
    <t>food_pyramid_level(fox, Level).</t>
  </si>
  <si>
    <t>?- belongs_to(harry, gryffindor).</t>
  </si>
  <si>
    <t>?- belong_to(harry, gryffindor).</t>
  </si>
  <si>
    <t>belongs_to(harry, gryffindor).</t>
  </si>
  <si>
    <t>?- belongs_to(malfoy, gryffindor).</t>
  </si>
  <si>
    <t>belongs_to(malfoy, gryffindor).</t>
  </si>
  <si>
    <t>?- belongs_to(hermione, gryffindor).</t>
  </si>
  <si>
    <t>belongs_to(hermione, gryffindor).</t>
  </si>
  <si>
    <t>?- belongs_to(hermione, slytherin).</t>
  </si>
  <si>
    <t>?- belongs_to(hermione,slytherin).</t>
  </si>
  <si>
    <t>belongs_to(hermione, slytherin).</t>
  </si>
  <si>
    <t>?- belongs_to(malfoy, slytherin).</t>
  </si>
  <si>
    <t>?- belong_to(malfoy, slytherin).</t>
  </si>
  <si>
    <t>belongs_to(malfoy, slytherin).</t>
  </si>
  <si>
    <t>?- belongs_to(cedric, hufflepuff).</t>
  </si>
  <si>
    <t>?- belong_to(cedric,hufflepuff).</t>
  </si>
  <si>
    <t>?- belongs_to(cedric,hufflepuff).</t>
  </si>
  <si>
    <t>belongs_to(cedric, hufflepuff).</t>
  </si>
  <si>
    <t>?- belongs_to(harry, gryffindor_repeated).</t>
  </si>
  <si>
    <t>?- belongs_to(harry,gryffindor).</t>
  </si>
  <si>
    <t>?- brave(Who).</t>
  </si>
  <si>
    <t>?- brave(X).</t>
  </si>
  <si>
    <t>brave(X).</t>
  </si>
  <si>
    <t>brave(Who).</t>
  </si>
  <si>
    <t>?- fair(Who).</t>
  </si>
  <si>
    <t>?- fair(X).</t>
  </si>
  <si>
    <t>fair(X).</t>
  </si>
  <si>
    <t>fair(Who).</t>
  </si>
  <si>
    <t>?- friend(X, harry).</t>
  </si>
  <si>
    <t>friend_of(X, harry).</t>
  </si>
  <si>
    <t>friend_of(Who, harry).</t>
  </si>
  <si>
    <t>?- belongs_to(Who, gryffindor).</t>
  </si>
  <si>
    <t>?- belongs_to(X, gryffindor).</t>
  </si>
  <si>
    <t>belongs_to(X, gryffindor).</t>
  </si>
  <si>
    <t>belongs_to(Who, gryffindor).</t>
  </si>
  <si>
    <t>?- belongs_to(Who, slytherin).</t>
  </si>
  <si>
    <t>?- belongs_to(X, slytherin).</t>
  </si>
  <si>
    <t>?- belongs_to(Person, slytherin).</t>
  </si>
  <si>
    <t>belongs_to(X, slytherin).</t>
  </si>
  <si>
    <t>belongs_to(Who, slytherin).</t>
  </si>
  <si>
    <t>meal(food).</t>
  </si>
  <si>
    <t>meal(X) :- food(X).</t>
  </si>
  <si>
    <t>meal(Anything) :- food(Anything).</t>
  </si>
  <si>
    <t>An error occurred during sentence pre-processing.</t>
  </si>
  <si>
    <t>professor_of(X,Y) :- teaches(X,C), studies(Y,C).</t>
  </si>
  <si>
    <t>happy(lili) :- dances(lili).</t>
  </si>
  <si>
    <t>hungry(tom) :- searches_for(tom, food).</t>
  </si>
  <si>
    <t>hungry(tom) :- searching_for(tom, food).</t>
  </si>
  <si>
    <t>hungry(tom) :- searching_for_food(tom).</t>
  </si>
  <si>
    <t>hungry(tom) :- searching_for(tom,food).</t>
  </si>
  <si>
    <t>friends(jack) :- loves_of(both, play(cricket)).</t>
  </si>
  <si>
    <t>friends(jack,bili) :- love_to_play(jack,cricket), love_to_play(bili,cricket).</t>
  </si>
  <si>
    <t>friends(jack,bili) :- loves_to_play(jack,cricket), loves_to_play(bili,cricket).</t>
  </si>
  <si>
    <t>friends(jack,bili) :- loves_to_play_cricket(jack), loves_to_play_cricket(bili).</t>
  </si>
  <si>
    <t>goes(ryan, play) :- closed(school) , free(ryan).</t>
  </si>
  <si>
    <t>will_go_if(ryan,and(school_closed,free(ryan))).</t>
  </si>
  <si>
    <t>go_to_play(ryan) :- school_closed, free(ryan).</t>
  </si>
  <si>
    <t>go_to_play(ryan) :- closed(school), free(ryan).</t>
  </si>
  <si>
    <t>likes(priya, food) :- delicious.</t>
  </si>
  <si>
    <t>likes(priya,food) :- delicious(food).</t>
  </si>
  <si>
    <t>likes(priya, Food) :- delicious(Food).</t>
  </si>
  <si>
    <t>likes_food(priya,X) :- food(X), delicious(X).</t>
  </si>
  <si>
    <t>likes(prakash, food) :- spicy , delicious.</t>
  </si>
  <si>
    <t>likes(prakash,food) :- spicy(food), delicious(food).</t>
  </si>
  <si>
    <t>likes(prakash, Food) :- spicy(Food), delicious(Food).</t>
  </si>
  <si>
    <t>likes_food(prakash,X) :- food(X), spicy(X), delicious(X).</t>
  </si>
  <si>
    <t>likes(john, susie) :- likes(john, mary).</t>
  </si>
  <si>
    <t>likes(john,susie) :- likes(john,mary).</t>
  </si>
  <si>
    <t>animal(X) :- elephant(X).</t>
  </si>
  <si>
    <t>eats(X, Y) :- cat(X) , likes(X, Y).</t>
  </si>
  <si>
    <t>eats(X,Y) :- cat(X), likes(X,Y).</t>
  </si>
  <si>
    <t>friends(X,Y) :- likes(X,Y), likes(Y,X).</t>
  </si>
  <si>
    <t>hates(X, Y) :- my_not(likes(X, Y)).</t>
  </si>
  <si>
    <t>hates(X,Y) :- \+ likes(X,Y).</t>
  </si>
  <si>
    <t>enemies(X) :- my_not(like(enemies, other)).</t>
  </si>
  <si>
    <t>enemies(X,Y) :- not(like(X,Y)), not(like(Y,X)).</t>
  </si>
  <si>
    <t>enemies(X,Y) :- \+ likes(X,Y), \+ likes(Y,X).</t>
  </si>
  <si>
    <t>happy(X) :- likes(X, pizza).</t>
  </si>
  <si>
    <t>happy(X) :- likes(X,pizza).</t>
  </si>
  <si>
    <t>y(X) :- cat(X) , dog(Y).</t>
  </si>
  <si>
    <t>different(X,Y) :- cat(X), dog(Y).</t>
  </si>
  <si>
    <t>listens_to(ananya, music) :- sings(ananya, song).</t>
  </si>
  <si>
    <t>listens_to(ananya,music) :- sings(ananya,song).</t>
  </si>
  <si>
    <t>listens_to_music(ananya) :- sings_song(ananya).</t>
  </si>
  <si>
    <t>happy(ananya) :- sings(ananya, song).</t>
  </si>
  <si>
    <t>happy(ananya) :- sings(ananya,song).</t>
  </si>
  <si>
    <t>happy(ananya) :- sings_song(ananya).</t>
  </si>
  <si>
    <t>happy(rohit) :- listens_to(rohit, music).</t>
  </si>
  <si>
    <t>happy(rohit) :- listens_to(rohit,music).</t>
  </si>
  <si>
    <t>happy(rohit) :- listens_to_music(rohit).</t>
  </si>
  <si>
    <t>plays(rohit, guitar) :- listens_to(rohit, music).</t>
  </si>
  <si>
    <t>plays(rohit,guitar) :- listens_to(rohit,music).</t>
  </si>
  <si>
    <t>plays_guitar(rohit) :- listens_to_music(rohit).</t>
  </si>
  <si>
    <t>likes(priya, jaya) :- cans(jaya, cook).</t>
  </si>
  <si>
    <t>likes(priya,jaya) :- can_cook(jaya).</t>
  </si>
  <si>
    <t>likes(priya, tiyasha) :- cans(tiyasha, cook).</t>
  </si>
  <si>
    <t>likes(priya,tiyasha) :- can_cook(tiyasha).</t>
  </si>
  <si>
    <t>likes(priya, tiyasha) :- can_cook(tiyasha).</t>
  </si>
  <si>
    <t>associates(symptom(X), condition_c) :- has(condition_c, symptom(symptom_x)).</t>
  </si>
  <si>
    <t>associated_with(C,X) :- has_symptom(C,X).</t>
  </si>
  <si>
    <t>associated_with_symptom(C,X) :- has_symptom(C,X).</t>
  </si>
  <si>
    <t>animal(X) :- insect(X).</t>
  </si>
  <si>
    <t>eats(X, Y) :- insectivore(X) , insect(Y).</t>
  </si>
  <si>
    <t>eats(X,Y) :- insectivore(X), insect(Y).</t>
  </si>
  <si>
    <t>herbivore(X) :- eats(X, Y) , plant(Y).</t>
  </si>
  <si>
    <t>herbivore(X) :- eats(X,Y), plant(Y).</t>
  </si>
  <si>
    <t>carnivore(X) :- eats(X, Y) , animal(Y).</t>
  </si>
  <si>
    <t>carnivore(X) :- eats(X,Y), animal(Y).</t>
  </si>
  <si>
    <t>omnivore(X) :- herbivore(X) , carnivore(X).</t>
  </si>
  <si>
    <t>omnivore(X) :- herbivore(X), carnivore(X).</t>
  </si>
  <si>
    <t>predator(X, Y) :- eats(X, Y).</t>
  </si>
  <si>
    <t>predator_of(X,Y) :- eats(X,Y).</t>
  </si>
  <si>
    <t>prey(X, Y) :- eats(Y, X).</t>
  </si>
  <si>
    <t>prey_to(X,Y) :- eats(Y,X).</t>
  </si>
  <si>
    <t>y(X) :- prey(Y).</t>
  </si>
  <si>
    <t>higher_level(X,Y) :- prey_to(Y,X).</t>
  </si>
  <si>
    <t>y(X) :- prey(Z) , pyramid(Z).</t>
  </si>
  <si>
    <t>higher_level(X,Y) :- prey_to(Z,X), higher_level(Z,Y).</t>
  </si>
  <si>
    <t>higher_level(X,Y) :- prey(Z,X), higher_level(Z,Y).</t>
  </si>
  <si>
    <t>belongs_to(person, gryffindor) :- brave(they) , loyal(they).</t>
  </si>
  <si>
    <t>belongs_to(Person, gryffindor) :- brave(Person), loyal(Person).</t>
  </si>
  <si>
    <t>belongs_to(X,gryffindor) :- brave(X), loyal(X).</t>
  </si>
  <si>
    <t>belongs_to(gryffindor,P) :- brave(P), loyal(P).</t>
  </si>
  <si>
    <t>belongs_to(person, gryffindor) :- friend(they, harry).</t>
  </si>
  <si>
    <t>belongs_to(Person, gryffindor) :- friend_of(Person, harry).</t>
  </si>
  <si>
    <t>belongs_to(Person, gryffindor) :- friend(Person, harry).</t>
  </si>
  <si>
    <t>belongs_to(X,gryffindor) :- friend_of(X,harry).</t>
  </si>
  <si>
    <t>belongs_to(gryffindor,P) :- friend_of(P,harry).</t>
  </si>
  <si>
    <t>belongs_to(person, hufflepuff) :- patient(they) , loyal(they).</t>
  </si>
  <si>
    <t>belongs_to(Person,hufflepuff) :- patient(Person), loyal(Person).</t>
  </si>
  <si>
    <t>belongs_to_hufflepuff(Person) :- patient(Person), loyal(Person).</t>
  </si>
  <si>
    <t>belongs_to(X,hufflepuff) :- patient(X), loyal(X).</t>
  </si>
  <si>
    <t>belongs_to(hufflepuff,P) :- patient(P), loyal(P).</t>
  </si>
  <si>
    <t>belongs_to(person, ravenclaw) :- curious(they).</t>
  </si>
  <si>
    <t>belongs_to(Person,ravenclaw) :- curious(Person).</t>
  </si>
  <si>
    <t>belongs_to(Person, ravenclaw) :- curious(Person).</t>
  </si>
  <si>
    <t>belongs_to(X,ravenclaw) :- curious(X).</t>
  </si>
  <si>
    <t>belongs_to(ravenclaw,P) :- curious(P).</t>
  </si>
  <si>
    <t>belongs_to(person, slytherin) :- enemy(they, harry) , my_not(loyal(they)).</t>
  </si>
  <si>
    <t>belongs_to(Person,slytherin) :- enemy_of(Person,harry), \+ loyal(Person).</t>
  </si>
  <si>
    <t>belongs_to_slytherin(X) :- enemy_of_harry(X), \+ loyal(X).</t>
  </si>
  <si>
    <t>belongs_to(X,slytherin) :- enemy_of(X,harry), not(loyal(X)).</t>
  </si>
  <si>
    <t>belongs_to(slytherin,P) :- enemy_of(P,harry), \+ loyal(P).</t>
  </si>
  <si>
    <t>rainy.</t>
  </si>
  <si>
    <t>cloudy.</t>
  </si>
  <si>
    <t>windy.</t>
  </si>
  <si>
    <t>stormy.</t>
  </si>
  <si>
    <t>snowy.</t>
  </si>
  <si>
    <t>cold.</t>
  </si>
  <si>
    <t>hot.</t>
  </si>
  <si>
    <t>warm.</t>
  </si>
  <si>
    <t>my_is.</t>
  </si>
  <si>
    <t>freezing.</t>
  </si>
  <si>
    <t>humid.</t>
  </si>
  <si>
    <t>dry.</t>
  </si>
  <si>
    <t>bright.</t>
  </si>
  <si>
    <t>dark.</t>
  </si>
  <si>
    <t>noisy.</t>
  </si>
  <si>
    <t>quiet.</t>
  </si>
  <si>
    <t>peaceful.</t>
  </si>
  <si>
    <t>busy.</t>
  </si>
  <si>
    <t>empty.</t>
  </si>
  <si>
    <t>open.</t>
  </si>
  <si>
    <t>closed.</t>
  </si>
  <si>
    <t>it(locked).</t>
  </si>
  <si>
    <t>locked.</t>
  </si>
  <si>
    <t>it(unlocked).</t>
  </si>
  <si>
    <t>unlocked.</t>
  </si>
  <si>
    <t>alive.</t>
  </si>
  <si>
    <t>alive(it).</t>
  </si>
  <si>
    <t>dead.</t>
  </si>
  <si>
    <t>moving.</t>
  </si>
  <si>
    <t>still.</t>
  </si>
  <si>
    <t>running.</t>
  </si>
  <si>
    <t>running(it).</t>
  </si>
  <si>
    <t>walking.</t>
  </si>
  <si>
    <t>flying.</t>
  </si>
  <si>
    <t>swimming.</t>
  </si>
  <si>
    <t>jumping.</t>
  </si>
  <si>
    <t>jumping(it).</t>
  </si>
  <si>
    <t>resting.</t>
  </si>
  <si>
    <t>reading(Someone).</t>
  </si>
  <si>
    <t>reading(someone).</t>
  </si>
  <si>
    <t>writing(Someone).</t>
  </si>
  <si>
    <t>writing(someone).</t>
  </si>
  <si>
    <t>singing(Someone).</t>
  </si>
  <si>
    <t>singing(someone).</t>
  </si>
  <si>
    <t>dancing(Someone).</t>
  </si>
  <si>
    <t>dancing(someone).</t>
  </si>
  <si>
    <t>laughing(Someone).</t>
  </si>
  <si>
    <t>laughing(someone).</t>
  </si>
  <si>
    <t>crying(Someone).</t>
  </si>
  <si>
    <t>crying(someone).</t>
  </si>
  <si>
    <t>smiling(Someone).</t>
  </si>
  <si>
    <t>smiling(someone).</t>
  </si>
  <si>
    <t>thinking(Someone).</t>
  </si>
  <si>
    <t>thinking(someone).</t>
  </si>
  <si>
    <t>working(Someone).</t>
  </si>
  <si>
    <t>working(someone).</t>
  </si>
  <si>
    <t>playing(Someone).</t>
  </si>
  <si>
    <t>playing(someone).</t>
  </si>
  <si>
    <t>studying(Someone).</t>
  </si>
  <si>
    <t>studying(someone).</t>
  </si>
  <si>
    <t>teaching(Someone).</t>
  </si>
  <si>
    <t>teaching(someone).</t>
  </si>
  <si>
    <t>learning(Someone).</t>
  </si>
  <si>
    <t>learning(someone).</t>
  </si>
  <si>
    <t>watching(Someone).</t>
  </si>
  <si>
    <t>watching(someone).</t>
  </si>
  <si>
    <t>watching(_).</t>
  </si>
  <si>
    <t>listening(Someone).</t>
  </si>
  <si>
    <t>listening(someone).</t>
  </si>
  <si>
    <t>talking(Someone).</t>
  </si>
  <si>
    <t>talking(someone).</t>
  </si>
  <si>
    <t>talking(_).</t>
  </si>
  <si>
    <t>eating(Someone).</t>
  </si>
  <si>
    <t>eating(someone).</t>
  </si>
  <si>
    <t>drinking(Someone).</t>
  </si>
  <si>
    <t>drinking(someone).</t>
  </si>
  <si>
    <t>busy(day).</t>
  </si>
  <si>
    <t>busy_day.</t>
  </si>
  <si>
    <t>quiet(night).</t>
  </si>
  <si>
    <t>quiet_night.</t>
  </si>
  <si>
    <t>early(morning).</t>
  </si>
  <si>
    <t>early_morning.</t>
  </si>
  <si>
    <t>time_of_day(early_morning).</t>
  </si>
  <si>
    <t>late(evening).</t>
  </si>
  <si>
    <t>late_evening.</t>
  </si>
  <si>
    <t>full(moon).</t>
  </si>
  <si>
    <t>full_moon.</t>
  </si>
  <si>
    <t>new(moon).</t>
  </si>
  <si>
    <t>new_moon.</t>
  </si>
  <si>
    <t>rising(sun).</t>
  </si>
  <si>
    <t>setting(sun).</t>
  </si>
  <si>
    <t>spring.</t>
  </si>
  <si>
    <t>season(spring).</t>
  </si>
  <si>
    <t>summer.</t>
  </si>
  <si>
    <t>autumn.</t>
  </si>
  <si>
    <t>winter.</t>
  </si>
  <si>
    <t>holiday.</t>
  </si>
  <si>
    <t>weekend.</t>
  </si>
  <si>
    <t>weekday.</t>
  </si>
  <si>
    <t>vacation_time.</t>
  </si>
  <si>
    <t>vacation(time).</t>
  </si>
  <si>
    <t>workday.</t>
  </si>
  <si>
    <t>birthday.</t>
  </si>
  <si>
    <t>festival.</t>
  </si>
  <si>
    <t>meeting.</t>
  </si>
  <si>
    <t>celebration.</t>
  </si>
  <si>
    <t>accident.</t>
  </si>
  <si>
    <t>accident(past).</t>
  </si>
  <si>
    <t>emergency.</t>
  </si>
  <si>
    <t>success.</t>
  </si>
  <si>
    <t>failure.</t>
  </si>
  <si>
    <t>fail.</t>
  </si>
  <si>
    <t>victory.</t>
  </si>
  <si>
    <t>defeat.</t>
  </si>
  <si>
    <t>sad(mary).</t>
  </si>
  <si>
    <t>angry(bob).</t>
  </si>
  <si>
    <t>tired(alice).</t>
  </si>
  <si>
    <t>excited(charlie).</t>
  </si>
  <si>
    <t>scared(diana).</t>
  </si>
  <si>
    <t>brave(luke).</t>
  </si>
  <si>
    <t>calm(emma).</t>
  </si>
  <si>
    <t>hungry(paul).</t>
  </si>
  <si>
    <t>thirsty(julia).</t>
  </si>
  <si>
    <t>asleep(vincent).</t>
  </si>
  <si>
    <t>awake(maria).</t>
  </si>
  <si>
    <t>sick(john).</t>
  </si>
  <si>
    <t>healthy(susan).</t>
  </si>
  <si>
    <t>smart(eric).</t>
  </si>
  <si>
    <t>strong(anna).</t>
  </si>
  <si>
    <t>weak(mike).</t>
  </si>
  <si>
    <t>tall(george).</t>
  </si>
  <si>
    <t>short(nina).</t>
  </si>
  <si>
    <t>old(harry).</t>
  </si>
  <si>
    <t>young(lisa).</t>
  </si>
  <si>
    <t>male(jack).</t>
  </si>
  <si>
    <t>female(kate).</t>
  </si>
  <si>
    <t>student(marc).</t>
  </si>
  <si>
    <t>teacher(claire).</t>
  </si>
  <si>
    <t>doctor(henry).</t>
  </si>
  <si>
    <t>artist(sophia).</t>
  </si>
  <si>
    <t>musician(tom).</t>
  </si>
  <si>
    <t>engineer(oliver).</t>
  </si>
  <si>
    <t>farmer(helen).</t>
  </si>
  <si>
    <t>pilot(sam).</t>
  </si>
  <si>
    <t>driver(james).</t>
  </si>
  <si>
    <t>cat(tiger).</t>
  </si>
  <si>
    <t>dog(rocky).</t>
  </si>
  <si>
    <t>bird(ruby).</t>
  </si>
  <si>
    <t>fish(bubbles).</t>
  </si>
  <si>
    <t>horse(star).</t>
  </si>
  <si>
    <t>animal(max).</t>
  </si>
  <si>
    <t>red(apple).</t>
  </si>
  <si>
    <t>green(tree).</t>
  </si>
  <si>
    <t>tree_is_green(tree).</t>
  </si>
  <si>
    <t>blue(sky).</t>
  </si>
  <si>
    <t>sky_is(blue).</t>
  </si>
  <si>
    <t>white(cloud).</t>
  </si>
  <si>
    <t>black(cat).</t>
  </si>
  <si>
    <t>cat_is_black(cat).</t>
  </si>
  <si>
    <t>yellow(sunflower).</t>
  </si>
  <si>
    <t>color(sunflower,yellow).</t>
  </si>
  <si>
    <t>orange(car).</t>
  </si>
  <si>
    <t>car_color(car, orange).</t>
  </si>
  <si>
    <t>purple(flower).</t>
  </si>
  <si>
    <t>flower_is_purple.</t>
  </si>
  <si>
    <t>brown(table).</t>
  </si>
  <si>
    <t>color(table,brown).</t>
  </si>
  <si>
    <t>gray(stone).</t>
  </si>
  <si>
    <t>color(stone, gray).</t>
  </si>
  <si>
    <t>round(ball).</t>
  </si>
  <si>
    <t>square(box).</t>
  </si>
  <si>
    <t>wooden(chair).</t>
  </si>
  <si>
    <t>metal(spoon).</t>
  </si>
  <si>
    <t>material(spoon, metal).</t>
  </si>
  <si>
    <t>plastic(bottle).</t>
  </si>
  <si>
    <t>material(bottle, plastic).</t>
  </si>
  <si>
    <t>glass(window).</t>
  </si>
  <si>
    <t>window_material(window, glass).</t>
  </si>
  <si>
    <t>my_open(door).</t>
  </si>
  <si>
    <t>open(door).</t>
  </si>
  <si>
    <t>closes(window, window).</t>
  </si>
  <si>
    <t>closed(window).</t>
  </si>
  <si>
    <t>breaks(vase, vase).</t>
  </si>
  <si>
    <t>broken(vase).</t>
  </si>
  <si>
    <t>empty(cup).</t>
  </si>
  <si>
    <t>full(bucket).</t>
  </si>
  <si>
    <t>hot(tea).</t>
  </si>
  <si>
    <t>cold(water).</t>
  </si>
  <si>
    <t>boiling(soup).</t>
  </si>
  <si>
    <t>freezes(ice, ice).</t>
  </si>
  <si>
    <t>frozen(ice).</t>
  </si>
  <si>
    <t>shining(sun).</t>
  </si>
  <si>
    <t>bright(light).</t>
  </si>
  <si>
    <t>dark(room).</t>
  </si>
  <si>
    <t>loud(music).</t>
  </si>
  <si>
    <t>quiet(library).</t>
  </si>
  <si>
    <t>beautiful(garden).</t>
  </si>
  <si>
    <t>ugly(monster).</t>
  </si>
  <si>
    <t>big(elephant).</t>
  </si>
  <si>
    <t>small(mouse).</t>
  </si>
  <si>
    <t>heavy(rock).</t>
  </si>
  <si>
    <t>light(feather).</t>
  </si>
  <si>
    <t>clean(dish).</t>
  </si>
  <si>
    <t>dirty(floor).</t>
  </si>
  <si>
    <t>new(book).</t>
  </si>
  <si>
    <t>old(clock).</t>
  </si>
  <si>
    <t>slow(turtle).</t>
  </si>
  <si>
    <t>sweet(cake).</t>
  </si>
  <si>
    <t>salty(chips).</t>
  </si>
  <si>
    <t>bitter(coffee).</t>
  </si>
  <si>
    <t>sour(lemon).</t>
  </si>
  <si>
    <t>delicious(pizza).</t>
  </si>
  <si>
    <t>disgusting(medicine).</t>
  </si>
  <si>
    <t>true(statement).</t>
  </si>
  <si>
    <t>true.</t>
  </si>
  <si>
    <t>false(assumption).</t>
  </si>
  <si>
    <t>false.</t>
  </si>
  <si>
    <t>possible(event).</t>
  </si>
  <si>
    <t>impossible(task).</t>
  </si>
  <si>
    <t>my_open(source(software)).</t>
  </si>
  <si>
    <t>open_source(software).</t>
  </si>
  <si>
    <t>source(program).</t>
  </si>
  <si>
    <t>closed_source(program).</t>
  </si>
  <si>
    <t>active(process).</t>
  </si>
  <si>
    <t>inactive(user).</t>
  </si>
  <si>
    <t>online(server).</t>
  </si>
  <si>
    <t>offline(system).</t>
  </si>
  <si>
    <t>running(machine).</t>
  </si>
  <si>
    <t>stops(train, train).</t>
  </si>
  <si>
    <t>stopped(train).</t>
  </si>
  <si>
    <t>has(alice, book).</t>
  </si>
  <si>
    <t>has(alice,book).</t>
  </si>
  <si>
    <t>has(bob, car).</t>
  </si>
  <si>
    <t>has(bob,car).</t>
  </si>
  <si>
    <t>has(charlie, dog).</t>
  </si>
  <si>
    <t>has(charlie,dog).</t>
  </si>
  <si>
    <t>has(diana, cat).</t>
  </si>
  <si>
    <t>has(diana,cat).</t>
  </si>
  <si>
    <t>owns(alice, house).</t>
  </si>
  <si>
    <t>owns(alice,house).</t>
  </si>
  <si>
    <t>owns(bob, bike).</t>
  </si>
  <si>
    <t>owns(bob,bike).</t>
  </si>
  <si>
    <t>owns(charlie, phone).</t>
  </si>
  <si>
    <t>owns(charlie,phone).</t>
  </si>
  <si>
    <t>owns(diana, laptop).</t>
  </si>
  <si>
    <t>owns(diana,laptop).</t>
  </si>
  <si>
    <t>likes(alice, coffee).</t>
  </si>
  <si>
    <t>likes(alice,coffee).</t>
  </si>
  <si>
    <t>likes(bob, tea).</t>
  </si>
  <si>
    <t>likes(bob,tea).</t>
  </si>
  <si>
    <t>likes(charlie, pizza).</t>
  </si>
  <si>
    <t>likes(charlie,pizza).</t>
  </si>
  <si>
    <t>likes(diana, chocolate).</t>
  </si>
  <si>
    <t>likes(diana,chocolate).</t>
  </si>
  <si>
    <t>loves(alice, bob).</t>
  </si>
  <si>
    <t>loves(alice,bob).</t>
  </si>
  <si>
    <t>loves(bob, diana).</t>
  </si>
  <si>
    <t>loves(bob,diana).</t>
  </si>
  <si>
    <t>loves(charlie, alice).</t>
  </si>
  <si>
    <t>loves(charlie,alice).</t>
  </si>
  <si>
    <t>loves(diana, charlie).</t>
  </si>
  <si>
    <t>loves(diana,charlie).</t>
  </si>
  <si>
    <t>hates(alice, rain).</t>
  </si>
  <si>
    <t>hates(alice,rain).</t>
  </si>
  <si>
    <t>hates(bob, noise).</t>
  </si>
  <si>
    <t>hates(bob,noise).</t>
  </si>
  <si>
    <t>hates(charlie, traffic).</t>
  </si>
  <si>
    <t>hates(charlie,traffic).</t>
  </si>
  <si>
    <t>hates(diana, cold).</t>
  </si>
  <si>
    <t>hates(diana,cold).</t>
  </si>
  <si>
    <t>helps(alice, bob).</t>
  </si>
  <si>
    <t>helps(alice,bob).</t>
  </si>
  <si>
    <t>helps(bob, charlie).</t>
  </si>
  <si>
    <t>helps(bob,charlie).</t>
  </si>
  <si>
    <t>helps(charlie, diana).</t>
  </si>
  <si>
    <t>helps(charlie,diana).</t>
  </si>
  <si>
    <t>helps(diana, alice).</t>
  </si>
  <si>
    <t>helps(diana,alice).</t>
  </si>
  <si>
    <t>teaches(alice, math).</t>
  </si>
  <si>
    <t>teaches(alice,math).</t>
  </si>
  <si>
    <t>teaches(bob, physics).</t>
  </si>
  <si>
    <t>teaches(bob,physics).</t>
  </si>
  <si>
    <t>teaches(charlie, history).</t>
  </si>
  <si>
    <t>teaches(charlie,history).</t>
  </si>
  <si>
    <t>teaches(diana, art).</t>
  </si>
  <si>
    <t>teaches(diana,art).</t>
  </si>
  <si>
    <t>studies(alice,biology).</t>
  </si>
  <si>
    <t>studies(alice, biology).</t>
  </si>
  <si>
    <t>studies(bob, chemistry).</t>
  </si>
  <si>
    <t>studies(bob,chemistry).</t>
  </si>
  <si>
    <t>literature(charlie, studies_literature).</t>
  </si>
  <si>
    <t>studies(charlie,literature).</t>
  </si>
  <si>
    <t>studies(charlie, literature).</t>
  </si>
  <si>
    <t>musics(diana, studies_music).</t>
  </si>
  <si>
    <t>studies(diana,music).</t>
  </si>
  <si>
    <t>studies(diana, music).</t>
  </si>
  <si>
    <t>visits(alice, paris).</t>
  </si>
  <si>
    <t>visits(alice,paris).</t>
  </si>
  <si>
    <t>visits(bob, london).</t>
  </si>
  <si>
    <t>visits(bob,london).</t>
  </si>
  <si>
    <t>visits(charlie, rome).</t>
  </si>
  <si>
    <t>visits(charlie,rome).</t>
  </si>
  <si>
    <t>visits(diana, berlin).</t>
  </si>
  <si>
    <t>visits(diana,berlin).</t>
  </si>
  <si>
    <t>travels_to(alice, spain).</t>
  </si>
  <si>
    <t>travels_to(alice,spain).</t>
  </si>
  <si>
    <t>travels_to(bob, italy).</t>
  </si>
  <si>
    <t>travels_to(bob,italy).</t>
  </si>
  <si>
    <t>travels_to(charlie, japan).</t>
  </si>
  <si>
    <t>travels_to(charlie,japan).</t>
  </si>
  <si>
    <t>travels_to(diana, canada).</t>
  </si>
  <si>
    <t>travels_to(diana,canada).</t>
  </si>
  <si>
    <t>lives_in(alice, paris).</t>
  </si>
  <si>
    <t>lives_in(alice,paris).</t>
  </si>
  <si>
    <t>lives_in(bob, london).</t>
  </si>
  <si>
    <t>lives_in(bob,london).</t>
  </si>
  <si>
    <t>lives_in(charlie, rome).</t>
  </si>
  <si>
    <t>lives_in(charlie,rome).</t>
  </si>
  <si>
    <t>lives_in(diana, berlin).</t>
  </si>
  <si>
    <t>lives_in(diana,berlin).</t>
  </si>
  <si>
    <t>works_in(alice, hospital).</t>
  </si>
  <si>
    <t>works_in(alice,hospital).</t>
  </si>
  <si>
    <t>works_in(bob, school).</t>
  </si>
  <si>
    <t>works_in(bob,school).</t>
  </si>
  <si>
    <t>works_in(charlie, office).</t>
  </si>
  <si>
    <t>works_in(charlie,office).</t>
  </si>
  <si>
    <t>works_in(diana, library).</t>
  </si>
  <si>
    <t>works_in(diana,library).</t>
  </si>
  <si>
    <t>drives(bob, car).</t>
  </si>
  <si>
    <t>drives(bob,car).</t>
  </si>
  <si>
    <t>drives(alice, bus).</t>
  </si>
  <si>
    <t>drives(alice,bus).</t>
  </si>
  <si>
    <t>drives(charlie, truck).</t>
  </si>
  <si>
    <t>drives(charlie,truck).</t>
  </si>
  <si>
    <t>drives(diana, taxi).</t>
  </si>
  <si>
    <t>drives(diana,taxi).</t>
  </si>
  <si>
    <t>eats(alice, apple).</t>
  </si>
  <si>
    <t>eats(alice,apple).</t>
  </si>
  <si>
    <t>eats(bob, sandwich).</t>
  </si>
  <si>
    <t>eats(bob,sandwich).</t>
  </si>
  <si>
    <t>eats(charlie, banana).</t>
  </si>
  <si>
    <t>eats(charlie,banana).</t>
  </si>
  <si>
    <t>eats(diana, cake).</t>
  </si>
  <si>
    <t>eats(diana,cake).</t>
  </si>
  <si>
    <t>drinks(alice, coffee).</t>
  </si>
  <si>
    <t>drinks(alice,coffee).</t>
  </si>
  <si>
    <t>drinks(bob, tea).</t>
  </si>
  <si>
    <t>drinks(bob,tea).</t>
  </si>
  <si>
    <t>drinks(charlie, water).</t>
  </si>
  <si>
    <t>drinks(charlie,water).</t>
  </si>
  <si>
    <t>drinks(diana, juice).</t>
  </si>
  <si>
    <t>drinks(diana,juice).</t>
  </si>
  <si>
    <t>reads(alice, book).</t>
  </si>
  <si>
    <t>reads(alice,book).</t>
  </si>
  <si>
    <t>reads(bob, newspaper).</t>
  </si>
  <si>
    <t>reads(bob,newspaper).</t>
  </si>
  <si>
    <t>reads(charlie, magazine).</t>
  </si>
  <si>
    <t>reads(charlie,magazine).</t>
  </si>
  <si>
    <t>reads(diana, poem).</t>
  </si>
  <si>
    <t>reads(diana,poem).</t>
  </si>
  <si>
    <t>writes(alice, letter).</t>
  </si>
  <si>
    <t>writes(alice,letter).</t>
  </si>
  <si>
    <t>writes(bob, report).</t>
  </si>
  <si>
    <t>writes(bob,report).</t>
  </si>
  <si>
    <t>writes(charlie, story).</t>
  </si>
  <si>
    <t>writes(charlie,story).</t>
  </si>
  <si>
    <t>writes(diana, email).</t>
  </si>
  <si>
    <t>writes(diana,email).</t>
  </si>
  <si>
    <t>watches(alice, movie).</t>
  </si>
  <si>
    <t>watches(alice,movie).</t>
  </si>
  <si>
    <t>watches(bob, series).</t>
  </si>
  <si>
    <t>watches(bob,series).</t>
  </si>
  <si>
    <t>watches(charlie, play).</t>
  </si>
  <si>
    <t>watches(charlie,play).</t>
  </si>
  <si>
    <t>watches(diana, documentary).</t>
  </si>
  <si>
    <t>watches(diana,documentary).</t>
  </si>
  <si>
    <t>plays(alice, guitar).</t>
  </si>
  <si>
    <t>plays(alice,guitar).</t>
  </si>
  <si>
    <t>plays(bob, piano).</t>
  </si>
  <si>
    <t>plays(bob,piano).</t>
  </si>
  <si>
    <t>plays(charlie, violin).</t>
  </si>
  <si>
    <t>plays(charlie,violin).</t>
  </si>
  <si>
    <t>plays(diana, drums).</t>
  </si>
  <si>
    <t>plays(diana,drums).</t>
  </si>
  <si>
    <t>owns(john, dog).</t>
  </si>
  <si>
    <t>owns(john,dog).</t>
  </si>
  <si>
    <t>owns(john, car).</t>
  </si>
  <si>
    <t>owns(john,car).</t>
  </si>
  <si>
    <t>owns(john, bike).</t>
  </si>
  <si>
    <t>owns(john,bike).</t>
  </si>
  <si>
    <t>owns(john, house).</t>
  </si>
  <si>
    <t>owns(john,house).</t>
  </si>
  <si>
    <t>meets(alice, john).</t>
  </si>
  <si>
    <t>meets(alice,john).</t>
  </si>
  <si>
    <t>meets(bob, john).</t>
  </si>
  <si>
    <t>meets(bob,john).</t>
  </si>
  <si>
    <t>meets(charlie, john).</t>
  </si>
  <si>
    <t>meets(charlie,john).</t>
  </si>
  <si>
    <t>meets(diana, john).</t>
  </si>
  <si>
    <t>meets(diana,john).</t>
  </si>
  <si>
    <t>calls(alice, bob).</t>
  </si>
  <si>
    <t>calls(alice,bob).</t>
  </si>
  <si>
    <t>calls(bob, alice).</t>
  </si>
  <si>
    <t>calls(bob,alice).</t>
  </si>
  <si>
    <t>calls(charlie, diana).</t>
  </si>
  <si>
    <t>calls(charlie,diana).</t>
  </si>
  <si>
    <t>calls(diana, charlie).</t>
  </si>
  <si>
    <t>calls(diana,charlie).</t>
  </si>
  <si>
    <t>knows(alice, bob).</t>
  </si>
  <si>
    <t>knows(alice,bob).</t>
  </si>
  <si>
    <t>knows(bob, charlie).</t>
  </si>
  <si>
    <t>knows(bob,charlie).</t>
  </si>
  <si>
    <t>knows(charlie, diana).</t>
  </si>
  <si>
    <t>knows(charlie,diana).</t>
  </si>
  <si>
    <t>knows(diana, alice).</t>
  </si>
  <si>
    <t>knows(diana,alice).</t>
  </si>
  <si>
    <t>visits(john, museum).</t>
  </si>
  <si>
    <t>visits(john,museum).</t>
  </si>
  <si>
    <t>visits(john, park).</t>
  </si>
  <si>
    <t>visits(john,park).</t>
  </si>
  <si>
    <t>visits(john, restaurant).</t>
  </si>
  <si>
    <t>visits(john,restaurant).</t>
  </si>
  <si>
    <t>visits(john, library).</t>
  </si>
  <si>
    <t>visits(john,library).</t>
  </si>
  <si>
    <t>late.</t>
  </si>
  <si>
    <t>interesting(topic).</t>
  </si>
  <si>
    <t>topic(interesting).</t>
  </si>
  <si>
    <t>library.</t>
  </si>
  <si>
    <t>library_exists.</t>
  </si>
  <si>
    <t>my_open(stores).</t>
  </si>
  <si>
    <t>open(store).</t>
  </si>
  <si>
    <t>open(stores).</t>
  </si>
  <si>
    <t>quantity(friends, 3).</t>
  </si>
  <si>
    <t>friends(3).</t>
  </si>
  <si>
    <t>friends(three).</t>
  </si>
  <si>
    <t>friends_count(3).</t>
  </si>
  <si>
    <t>student(alice).</t>
  </si>
  <si>
    <t>friend(bob, alice).</t>
  </si>
  <si>
    <t>friend(bob,alice).</t>
  </si>
  <si>
    <t>friend_of(bob,alice).</t>
  </si>
  <si>
    <t>loyal(charlie).</t>
  </si>
  <si>
    <t>sleeps(cat).</t>
  </si>
  <si>
    <t>speaks(alice, calmly).</t>
  </si>
  <si>
    <t>speaks(alice,calmly).</t>
  </si>
  <si>
    <t>speaks_calmly(alice).</t>
  </si>
  <si>
    <t>likes(bob, coffee).</t>
  </si>
  <si>
    <t>likes(bob,coffee).</t>
  </si>
  <si>
    <t>prefers(charlie, tea).</t>
  </si>
  <si>
    <t>prefers(charlie,tea).</t>
  </si>
  <si>
    <t>loves(alice, reading(magazines)).</t>
  </si>
  <si>
    <t>loves(alice,reading_magazines).</t>
  </si>
  <si>
    <t>likes(bob, play(video_games)).</t>
  </si>
  <si>
    <t>likes(bob,play(video_games)).</t>
  </si>
  <si>
    <t>likes(bob,play_video_games).</t>
  </si>
  <si>
    <t>paints(bob, canvas).</t>
  </si>
  <si>
    <t>paints(bob,canvas).</t>
  </si>
  <si>
    <t>painted_by(canvas,bob).</t>
  </si>
  <si>
    <t>my_not(likes(alice, cupcakes)).</t>
  </si>
  <si>
    <t>not(likes(alice,cupcakes)).</t>
  </si>
  <si>
    <t>dislikes(alice,cupcakes).</t>
  </si>
  <si>
    <t>writes(charlie, book).</t>
  </si>
  <si>
    <t>wrote(charlie,book).</t>
  </si>
  <si>
    <t>wrote(charlie, book).</t>
  </si>
  <si>
    <t>lives_in(alice, london).</t>
  </si>
  <si>
    <t>lives_in(alice,london).</t>
  </si>
  <si>
    <t>happy(charlie) :- enjoys(alice, book) , enjoys(bob, book).</t>
  </si>
  <si>
    <t>happy(charlie) :- enjoy(alice,book), enjoy(bob,book).</t>
  </si>
  <si>
    <t>happy(charlie) :- enjoy(alice, book), enjoy(bob, book).</t>
  </si>
  <si>
    <t>sad(charlie) :- hates(alice, book) , hates(bob, book).</t>
  </si>
  <si>
    <t>sad(charlie) :- hate(alice,book), hate(bob,book).</t>
  </si>
  <si>
    <t>sad(charlie) :- hates(alice,book), hates(bob,book).</t>
  </si>
  <si>
    <t>sad(alice) :- dark , cloudy.</t>
  </si>
  <si>
    <t>sad(alice) :- dark, cloudy.</t>
  </si>
  <si>
    <t>satisfied(authors) :- sell(authors, many(books)).</t>
  </si>
  <si>
    <t>satisfied(authors) :- sell(authors,many_books).</t>
  </si>
  <si>
    <t>satisfied(authors) :- sell_many(authors,books).</t>
  </si>
  <si>
    <t>happy(bob) :- gets(bob, good(grade)) ; learns(bob, new(topic)).</t>
  </si>
  <si>
    <t>happy(bob) :- gets(bob,good_grade); learns(bob,new_topic).</t>
  </si>
  <si>
    <t>happy(bob) :- good_grade(bob) ; learns_new_topic(bob).</t>
  </si>
  <si>
    <t>happy(bob) :- gets(bob,good_grade) ; learns(bob,new_topic).</t>
  </si>
  <si>
    <t>happy(bob) :- good_grade(bob) ; learns(bob,new_topic).</t>
  </si>
  <si>
    <t>friend(Y, X) :- friend(X, Y).</t>
  </si>
  <si>
    <t>friend(Y,X) :- friend(X,Y).</t>
  </si>
  <si>
    <t>friend_of(Y,X) :- friend_of(X,Y).</t>
  </si>
  <si>
    <t>?- cold.</t>
  </si>
  <si>
    <t>?- bookshop.</t>
  </si>
  <si>
    <t>?- bookshop_exists.</t>
  </si>
  <si>
    <t>?- my_open(What).</t>
  </si>
  <si>
    <t>?- open(X).</t>
  </si>
  <si>
    <t>open(X).</t>
  </si>
  <si>
    <t>?- interesting(topic).</t>
  </si>
  <si>
    <t>?- happy(charlie).</t>
  </si>
  <si>
    <t>?- student(Who).</t>
  </si>
  <si>
    <t>?- student(X).</t>
  </si>
  <si>
    <t>?- writes(charlie, What).</t>
  </si>
  <si>
    <t>?- write(charlie, What).</t>
  </si>
  <si>
    <t>?- wrote(charlie, What).</t>
  </si>
  <si>
    <t>?- wrote(charlie,X).</t>
  </si>
  <si>
    <t>?- paints(Who, canvas).</t>
  </si>
  <si>
    <t>paints(Who,canvas).</t>
  </si>
  <si>
    <t>?- paints(X,canvas).</t>
  </si>
  <si>
    <t>?- paints(bob, What).</t>
  </si>
  <si>
    <t>?- paint(bob, What).</t>
  </si>
  <si>
    <t>paints(bob, What).</t>
  </si>
  <si>
    <t>?- paints(bob,X).</t>
  </si>
  <si>
    <t>?- loves(X,Y).</t>
  </si>
  <si>
    <t>?- satisfied(authors).</t>
  </si>
  <si>
    <t>sell(authors, many(books)).</t>
  </si>
  <si>
    <t>sell(authors,books).</t>
  </si>
  <si>
    <t>sell_many(authors,books).</t>
  </si>
  <si>
    <t>sell(famous(musicians), quantity(albums, 1000)).</t>
  </si>
  <si>
    <t>sell(famous_musicians,albums(1000)).</t>
  </si>
  <si>
    <t>sell(famous_musicians,1000).</t>
  </si>
  <si>
    <t>sell(famous_musicians,one_thousand_albums).</t>
  </si>
  <si>
    <t>sell(famous_musicians,1000,albums).</t>
  </si>
  <si>
    <t>excellent(book) :- writes(isaac_asimov, book).</t>
  </si>
  <si>
    <t>excellent(book) :- wrote(isaac_asimov, book).</t>
  </si>
  <si>
    <t>excellent(Book) :- wrote(isaac_asimov, Book).</t>
  </si>
  <si>
    <t>excellent(book) :- wrote(isaac_asimov,book).</t>
  </si>
  <si>
    <t>?- prefers(charlie, tea).</t>
  </si>
  <si>
    <t>?- prefer(charlie, tea).</t>
  </si>
  <si>
    <t>?- prefers(charlie,tea).</t>
  </si>
  <si>
    <t>?- sad(Someone).</t>
  </si>
  <si>
    <t>?- sad(someone).</t>
  </si>
  <si>
    <t>?- sad(_).</t>
  </si>
  <si>
    <t>?- sad(X).</t>
  </si>
  <si>
    <t>smart(X) :- curious(X).</t>
  </si>
  <si>
    <t>professor(mr_smith).</t>
  </si>
  <si>
    <t>happy(bob) :- buys(bob, books) , buys(bob, magazines).</t>
  </si>
  <si>
    <t>happy(bob) :- buys(bob,books), buys(bob,magazines).</t>
  </si>
  <si>
    <t>funny(she).</t>
  </si>
  <si>
    <t>example.</t>
  </si>
  <si>
    <t>example(it).</t>
  </si>
  <si>
    <t>Correct answer</t>
  </si>
  <si>
    <t>Result</t>
  </si>
  <si>
    <t>wet(streets) :- raining.</t>
  </si>
  <si>
    <t>wet_streets :- raining.</t>
  </si>
  <si>
    <t>?- wet(streets).</t>
  </si>
  <si>
    <t>Query result:  True
Solution: [{}]</t>
  </si>
  <si>
    <t>Query result:  True
Solution: [{}]</t>
  </si>
  <si>
    <t>?- wet_streets.</t>
  </si>
  <si>
    <t>lives_in(charlie, france) :- lives_in(charlie, paris).</t>
  </si>
  <si>
    <t>lives_in(charlie,paris) :- lives_in(charlie,france).</t>
  </si>
  <si>
    <t>lives_in(charlie,france) :- lives_in(charlie,paris).</t>
  </si>
  <si>
    <t>lives(charlie,france) :- lives(charlie,paris).</t>
  </si>
  <si>
    <t>lives_in(charlie, paris).</t>
  </si>
  <si>
    <t>lives(charlie,paris).</t>
  </si>
  <si>
    <t>lives_in(charlie,paris).</t>
  </si>
  <si>
    <t>?- lives_in(charlie, france).</t>
  </si>
  <si>
    <t>?- live_in(charlie, france).</t>
  </si>
  <si>
    <t>Query result:  False</t>
  </si>
  <si>
    <t>?- lives(charlie,france)</t>
  </si>
  <si>
    <t>?- lives_in(charlie,france).</t>
  </si>
  <si>
    <t>?- live(charlie, Where).</t>
  </si>
  <si>
    <t>?- lives_in(charlie, Where).</t>
  </si>
  <si>
    <t>Query result:  True
Solution: [{'Where': 'france'}, {'Where': 'paris'}]</t>
  </si>
  <si>
    <t>?- lives(charlie,X).</t>
  </si>
  <si>
    <t>Query result:  True
Solution: [{'X': 'france'}, {'X': 'paris'}]</t>
  </si>
  <si>
    <t>?- lives_in(charlie,Where).</t>
  </si>
  <si>
    <t>mortal(X) :- human(X).</t>
  </si>
  <si>
    <t>Accuracy</t>
  </si>
  <si>
    <t>human(socrates).</t>
  </si>
  <si>
    <t>?- mortal(socrates).</t>
  </si>
  <si>
    <t>?- mortal(Who).</t>
  </si>
  <si>
    <t>Query result:  True
Solution: [{'Who': 'socrates'}]</t>
  </si>
  <si>
    <t>?- mortal(X).</t>
  </si>
  <si>
    <t>Query result:  True
Solution: [{'X': 'socrates'}]</t>
  </si>
  <si>
    <t>?- mortal(Who)</t>
  </si>
  <si>
    <t>loves(mary, john).</t>
  </si>
  <si>
    <t>loves(mary,john).</t>
  </si>
  <si>
    <t>thankful(john) :- loves(Someone, john).</t>
  </si>
  <si>
    <t>thankful(john) :- loves(_X,john).</t>
  </si>
  <si>
    <t>thankful(john) :- loves(_Someone, john).</t>
  </si>
  <si>
    <t>thankful(john) :- loves(X,john).</t>
  </si>
  <si>
    <t>thankful(john) :- loves(_,john).</t>
  </si>
  <si>
    <t>?- thankful(john).</t>
  </si>
  <si>
    <t>?- loves(Someone, john).</t>
  </si>
  <si>
    <t>Query result:  True
Solution: [{'Someone': 'mary'}]</t>
  </si>
  <si>
    <t>?- love(someone,john).</t>
  </si>
  <si>
    <t>?- loves(_, john).</t>
  </si>
  <si>
    <t>?- loves(X,john).</t>
  </si>
  <si>
    <t>Query result:  True
Solution: [{'X': 'mary'}]</t>
  </si>
  <si>
    <t>?- loves(_,john).</t>
  </si>
  <si>
    <t>?- loves(mary, john).</t>
  </si>
  <si>
    <t>?- love(mary,john).</t>
  </si>
  <si>
    <t>?- loves(mary,john).</t>
  </si>
  <si>
    <t>likes(alice, bob) :- nice(alice).</t>
  </si>
  <si>
    <t>likes(alice,bob) :- nice(bob).</t>
  </si>
  <si>
    <t>nice(bob).</t>
  </si>
  <si>
    <t>?- likes_like(alice, bob).</t>
  </si>
  <si>
    <t>?- like(alice,bob).</t>
  </si>
  <si>
    <t>?- likes(alice,bob).</t>
  </si>
  <si>
    <t>sunny :- blue(sky).</t>
  </si>
  <si>
    <t>sunny :- blue_sky.</t>
  </si>
  <si>
    <t>?- sunny.</t>
  </si>
  <si>
    <t>Query result:  False
Solution: []</t>
  </si>
  <si>
    <t>reads(alice, scientific(articles)) :- researcher(alice).</t>
  </si>
  <si>
    <t>reads(alice,scientific_articles) :- researcher(alice).</t>
  </si>
  <si>
    <t>?- reads(alice, scientific(articles)).</t>
  </si>
  <si>
    <t>?- read(alice, scientific_articles).</t>
  </si>
  <si>
    <t>Error: the goal is not well-formed</t>
  </si>
  <si>
    <t>?- reads(alice, scientific_articles).</t>
  </si>
  <si>
    <t>?- reads(alice,scientific_articles).</t>
  </si>
  <si>
    <t>?- reads(alice, What).</t>
  </si>
  <si>
    <t>Query result:  False
Solution: []</t>
  </si>
  <si>
    <t>?- read(alice, What).</t>
  </si>
  <si>
    <t>?- reads(alice,X).</t>
  </si>
  <si>
    <t>?- reads(alice,What).</t>
  </si>
  <si>
    <t>closed(park) :- snow.</t>
  </si>
  <si>
    <t>play_at(children, home) :- closed(park).</t>
  </si>
  <si>
    <t>play_at_home(children) :- closed(park).</t>
  </si>
  <si>
    <t>snow.</t>
  </si>
  <si>
    <t>?- play_at(children, home).</t>
  </si>
  <si>
    <t>Query result: True
Solution: [{}]</t>
  </si>
  <si>
    <t>?- play(children, home).</t>
  </si>
  <si>
    <t>Query result: False</t>
  </si>
  <si>
    <t>?- play_at_home(children).</t>
  </si>
  <si>
    <t>reads(neighbour, book) :- cloudy(neighbour) , rains(neighbour).</t>
  </si>
  <si>
    <t>reads(neighbour,book) :- cloudy, raining.</t>
  </si>
  <si>
    <t>reads_book(neighbour) :- cloudy, raining.</t>
  </si>
  <si>
    <t>makes(neighbour, tea) :- reads(neighbour, book).</t>
  </si>
  <si>
    <t>makes(neighbour,tea) :- reads(she,book).</t>
  </si>
  <si>
    <t>makes_tea(neighbour) :- reads_book(neighbour).</t>
  </si>
  <si>
    <t>?- makes(neighbour, tea).</t>
  </si>
  <si>
    <t>?- make(neighbour, tea).</t>
  </si>
  <si>
    <t>?- make_tea(neighbour).</t>
  </si>
  <si>
    <t>?- makes_tea(neighbour).</t>
  </si>
  <si>
    <t>satisfied(mr_smith) :- enjoys(alice, reading) , enjoys(bob, reading).</t>
  </si>
  <si>
    <t>satisfied(mr_smith) :- enjoy(alice,reading), enjoy(bob,reading).</t>
  </si>
  <si>
    <t>satisfied(mr_smith) :- enjoy_reading(alice), enjoy_reading(bob).</t>
  </si>
  <si>
    <t>satisfied(mr_smith) :- enjoys(alice,reading), enjoys(bob,reading).</t>
  </si>
  <si>
    <t>satisfied(mr_smith) :- enjoys_reading(alice), enjoys_reading(bob).</t>
  </si>
  <si>
    <t>enjoys(alice, reading).</t>
  </si>
  <si>
    <t>enjoys(alice,reading).</t>
  </si>
  <si>
    <t>enjoys_reading(alice).</t>
  </si>
  <si>
    <t>enjoys(bob, reading).</t>
  </si>
  <si>
    <t>enjoys(bob,reading).</t>
  </si>
  <si>
    <t>enjoys_reading(bob).</t>
  </si>
  <si>
    <t>?- satisfied(mr_smith).</t>
  </si>
  <si>
    <t>plays(charlie, tennis) :- free(charlie) , feels(charlie, well).</t>
  </si>
  <si>
    <t>plays(charlie,tennis) :- free(charlie), feels(charlie,well).</t>
  </si>
  <si>
    <t>plays_tennis(charlie) :- free(charlie), feels_well(charlie).</t>
  </si>
  <si>
    <t>feels(charlie, well).</t>
  </si>
  <si>
    <t>feels(charlie,well).</t>
  </si>
  <si>
    <t>feels_well(charlie).</t>
  </si>
  <si>
    <t>?- plays(charlie, tennis).</t>
  </si>
  <si>
    <t>Query result: False
Solution: []</t>
  </si>
  <si>
    <t>?- play(charlie,tennis).</t>
  </si>
  <si>
    <t>?- plays(charlie,tennis).</t>
  </si>
  <si>
    <t>?- plays_tennis(charlie).</t>
  </si>
  <si>
    <t>goes_to(bob, sleep) :- dark , tired(bob).</t>
  </si>
  <si>
    <t>goes_to_sleep(bob) :- dark, tired(bob).</t>
  </si>
  <si>
    <t>sleep(bob) :- dark, tired(bob).</t>
  </si>
  <si>
    <t>goes(bob,sleep) :- dark, tired(bob).</t>
  </si>
  <si>
    <t>?- goes_to(bob, sleep).</t>
  </si>
  <si>
    <t>?- go_to_sleep(bob).</t>
  </si>
  <si>
    <t>?- goes_to_sleep(bob).</t>
  </si>
  <si>
    <t>?- goes(bob,sleep).</t>
  </si>
  <si>
    <t>goes_to(alice, sleep) :- tired(alice) , stresses(alice).</t>
  </si>
  <si>
    <t>goes_to_sleep(alice) :- tired(alice), stressed(alice).</t>
  </si>
  <si>
    <t>sleep(alice) :- tired(alice), stressed(alice).</t>
  </si>
  <si>
    <t>goes(alice,sleep) :- tired(alice), stressed(alice).</t>
  </si>
  <si>
    <t>alice(stressed).</t>
  </si>
  <si>
    <t>stressed(alice).</t>
  </si>
  <si>
    <t>?- goes_to(alice, sleep).</t>
  </si>
  <si>
    <t>?- go_to_sleep(alice).</t>
  </si>
  <si>
    <t>?- goes_to_sleep(alice).</t>
  </si>
  <si>
    <t>?- goes(alice,sleep).</t>
  </si>
  <si>
    <t>happy(bob) :- moves_to(charlie, london) ; moves(charlie, paris).</t>
  </si>
  <si>
    <t>happy(bob) :- moves_to(charlie,london); moves_to(charlie,paris).</t>
  </si>
  <si>
    <t>happy(bob) :- moves_to(charlie,london) ; moves_to(charlie,paris).</t>
  </si>
  <si>
    <t>happy(bob) :- moves(charlie,london). 
happy(bob) :- moves(charlie,paris).</t>
  </si>
  <si>
    <t>happy(bob) :- moves_to(charlie, london).</t>
  </si>
  <si>
    <t>moves_to(charlie, london).</t>
  </si>
  <si>
    <t>moves_to(charlie,london).</t>
  </si>
  <si>
    <t>moves(charlie,london).</t>
  </si>
  <si>
    <t>?- happy(bob).</t>
  </si>
  <si>
    <t xml:space="preserve">Query result: True
Solution: [{}]
</t>
  </si>
  <si>
    <t>surprised(alice) :- sunny ; warm.</t>
  </si>
  <si>
    <t>surprised(alice) :- sunny.
surprised(alice) :- warm.</t>
  </si>
  <si>
    <t>surprised(alice) :- sunny.</t>
  </si>
  <si>
    <t>?- surprised(alice).</t>
  </si>
  <si>
    <t>Query result: True
Solution: [{}]</t>
  </si>
  <si>
    <t>reads(alice, book) :- bored(alice) ; raining.</t>
  </si>
  <si>
    <t>reads(alice,book) :- bored(alice); raining.</t>
  </si>
  <si>
    <t>reads(alice,book) :- bored(alice) ; raining.</t>
  </si>
  <si>
    <t>reads(alice,book) :- bored(alice).
reads(alice,book) :- raining.</t>
  </si>
  <si>
    <t>reads_book(alice) :- bored(alice).</t>
  </si>
  <si>
    <t>bored(alice).</t>
  </si>
  <si>
    <t>?- reads(alice, book).</t>
  </si>
  <si>
    <t>Query result: True
Solution: [{}, {}]</t>
  </si>
  <si>
    <t>?- read(alice, book).</t>
  </si>
  <si>
    <t>?- reads(alice,book).</t>
  </si>
  <si>
    <t>?- reads_book(alice).</t>
  </si>
  <si>
    <t>Query result: True
Solution: [{'What': 'book'}, {'What': 'book'}]</t>
  </si>
  <si>
    <t>Query result: True
Solution: [{'What': 'book'}, {'What': 'book'}]</t>
  </si>
  <si>
    <t>?- reads(alice, X).</t>
  </si>
  <si>
    <t>?- reads(Who, book).</t>
  </si>
  <si>
    <t>Query result: True
Solution: [{'Who': 'alice'}, {'Who': 'alice'}]</t>
  </si>
  <si>
    <t>?- reads(X, book).</t>
  </si>
  <si>
    <t>Query result: True
Solution: [{'X': 'alice'}, {'X': 'alice'}]</t>
  </si>
  <si>
    <t>?- reads(Who,book).</t>
  </si>
  <si>
    <t>?- reads_book(X).</t>
  </si>
  <si>
    <t xml:space="preserve">Query result: True
Solution: [{'X': 'alice'}]
</t>
  </si>
  <si>
    <t>sad(charlie) :- mean(alice) ; mean(bob).</t>
  </si>
  <si>
    <t>sad(charlie) :- mean(alice).</t>
  </si>
  <si>
    <t>sad(charlie) :- mean(alice).
sad(charlie) :- mean(bob).</t>
  </si>
  <si>
    <t>?- sad(charlie).</t>
  </si>
  <si>
    <t xml:space="preserve">Query result: False
Solution: []
</t>
  </si>
  <si>
    <t>cries(bob) :- upset(alice) ; upset(bob).</t>
  </si>
  <si>
    <t>cries(bob) :- upset(alice), upset(bob).</t>
  </si>
  <si>
    <t>cries(bob) :- upset(alice).
cries(bob) :- upset(bob).</t>
  </si>
  <si>
    <t>cries(bob) :- upset(alice).</t>
  </si>
  <si>
    <t>?- Does(bob, cry).</t>
  </si>
  <si>
    <t>?- cry(bob).</t>
  </si>
  <si>
    <t>?- cries(bob).</t>
  </si>
  <si>
    <t>publishes(alice, article).</t>
  </si>
  <si>
    <t>publishes(alice,article).</t>
  </si>
  <si>
    <t>publishes(charlie, article).</t>
  </si>
  <si>
    <t>published_by(article,charlie).</t>
  </si>
  <si>
    <t>publishes(charlie,article).</t>
  </si>
  <si>
    <t>?- publishes(Who, article).</t>
  </si>
  <si>
    <t>Query result: True
Solution: [{'Who': 'alice'}, {'Who': 'charlie'}]</t>
  </si>
  <si>
    <t>?- publishes(_, article).</t>
  </si>
  <si>
    <t>publishes(Publisher, Article).</t>
  </si>
  <si>
    <t>?- publishes(Who,article).</t>
  </si>
  <si>
    <t>Query result: True
Solution: [{'Who': 'alice'}]</t>
  </si>
  <si>
    <t>?- publishes(Who, What).</t>
  </si>
  <si>
    <t>Query result: True
Solution: [{'Who': 'alice', 'What': 'article'}, {'Who': 'charlie', 'What': 'article'}]</t>
  </si>
  <si>
    <t>Query result: True
Solution: [{'Who': 'alice', 'What': 'article'}]</t>
  </si>
  <si>
    <t>publishes(Who, What).</t>
  </si>
  <si>
    <t>?- publishes(Who,What).</t>
  </si>
  <si>
    <t>cleans(librarian, windows).</t>
  </si>
  <si>
    <t>cleaned_by(windows,librarian).</t>
  </si>
  <si>
    <t>cleans(librarian,windows).</t>
  </si>
  <si>
    <t>?- cleans(Who, windows).</t>
  </si>
  <si>
    <t>Query result: True
Solution: [{'Who': 'librarian'}, {'Who': 'librarian'}]</t>
  </si>
  <si>
    <t>Query result: True
Solution: [{'Who': 'librarian'}]</t>
  </si>
  <si>
    <t>?- cleans(Who,windows).</t>
  </si>
  <si>
    <t>?- cleans(librarian, What).</t>
  </si>
  <si>
    <t>Query result: True
Solution: [{'What': 'windows'}, {'What': 'windows'}]</t>
  </si>
  <si>
    <t>?- clean(librarian, What).</t>
  </si>
  <si>
    <t>cleans(librarian, What).</t>
  </si>
  <si>
    <t>?- cleans(librarian,What).</t>
  </si>
  <si>
    <t>Query result: True
Solution: [{'What': 'windows'}]</t>
  </si>
  <si>
    <t>?- cleans(Who, What).</t>
  </si>
  <si>
    <t>Query result: True
Solution: [{'Who': 'librarian', 'What': 'windows'}, {'Who': 'librarian', 'What': 'windows'}]</t>
  </si>
  <si>
    <t>Query result: True
Solution: [{'Who': 'librarian', 'What': 'windows'}]</t>
  </si>
  <si>
    <t>Query result: True
Solution: [{'Who': 'librarian', 'What': 'windows'}, {'Who': 'librarian', 'What': Variable(77)}]</t>
  </si>
  <si>
    <t>?- cleans(Who,What).</t>
  </si>
  <si>
    <t>closes(librarian, doors).</t>
  </si>
  <si>
    <t>close(librarian,doors).</t>
  </si>
  <si>
    <t>Error: the clause is not well-formed.</t>
  </si>
  <si>
    <t>closed_by(doors,librarian).</t>
  </si>
  <si>
    <t>closes(librarian,doors).</t>
  </si>
  <si>
    <t>?- closes(Who, doors).</t>
  </si>
  <si>
    <t>closes(Who,doors).</t>
  </si>
  <si>
    <t>?- closes(Who,doors).</t>
  </si>
  <si>
    <t>?- close(librarian, What).</t>
  </si>
  <si>
    <t>close(librarian, What).</t>
  </si>
  <si>
    <t>?- closes(librarian,What).</t>
  </si>
  <si>
    <t>Query result: True
Solution: [{'What': 'doors'}]</t>
  </si>
  <si>
    <t>Query result: True
Solution: [{'What': 'doors'}, {'What': 'doors'}]</t>
  </si>
  <si>
    <t>?- closes(Who, What).</t>
  </si>
  <si>
    <t>Query result: True
Solution: [{'Who': 'librarian', 'What': 'doors'}, {'Who': 'librarian', 'What': 'doors'}]</t>
  </si>
  <si>
    <t>Query result: True
Solution: [{'Who': 'librarian', 'What': 'doors'}]</t>
  </si>
  <si>
    <t>Query result: True
Solution: [{'Who': 'librarian', 'What': 'doors'}, {'Who': Variable(74), 'What': 'doors'}]</t>
  </si>
  <si>
    <t>?- closes(Who,What).</t>
  </si>
  <si>
    <t>writes(bob, article).</t>
  </si>
  <si>
    <t>writes(bob,article).</t>
  </si>
  <si>
    <t>written_by(article,bob).</t>
  </si>
  <si>
    <t>?- writes(Who, article).</t>
  </si>
  <si>
    <t>Query result: True
Solution: [{'Who': 'bob'}, {'Who': 'bob'}]</t>
  </si>
  <si>
    <t>Query result: True
Solution: [{'Who': 'bob'}]</t>
  </si>
  <si>
    <t>writes(Who, article).</t>
  </si>
  <si>
    <t>?- writes(Who,article).</t>
  </si>
  <si>
    <t>Query result: True
Solution: [{'Who': 'bob'}, {'Who': 'bob'}]</t>
  </si>
  <si>
    <t>stops(peter, train).</t>
  </si>
  <si>
    <t>stops(peter,train).</t>
  </si>
  <si>
    <t>stopped_by(train,peter).</t>
  </si>
  <si>
    <t>?- stops(peter, What).</t>
  </si>
  <si>
    <t>Query result: True
Solution: [{'What': 'train'}, {'What': 'train'}]</t>
  </si>
  <si>
    <t>?- stop(peter, X).</t>
  </si>
  <si>
    <t>stopped_by(X,peter).</t>
  </si>
  <si>
    <t>?- stopped_by(What,peter).</t>
  </si>
  <si>
    <t>Query result: True
Solution: [{'What': 'train'}]</t>
  </si>
  <si>
    <t>?- stops(peter,What).</t>
  </si>
  <si>
    <t>bites(spider, peter).</t>
  </si>
  <si>
    <t>bites(spider,peter).</t>
  </si>
  <si>
    <t>bitten_by(peter,spider).</t>
  </si>
  <si>
    <t>?- bites(spider, Who).</t>
  </si>
  <si>
    <t>Query result: True
Solution: [{'Who': 'peter'}, {'Who': 'peter'}]</t>
  </si>
  <si>
    <t>?- bitten_by(X, spider).</t>
  </si>
  <si>
    <t>Query result: True
Solution: [{'X': 'peter'}]</t>
  </si>
  <si>
    <t xml:space="preserve">Query result: True
Solution: [{'X': 'peter'}]
</t>
  </si>
  <si>
    <t>?- bitten_by(Who,spider).</t>
  </si>
  <si>
    <t>Query result: True
Solution: [{'Who': 'peter'}]</t>
  </si>
  <si>
    <t>?- bites(spider,Who).</t>
  </si>
  <si>
    <t>likes(bob, playing(board_games)).</t>
  </si>
  <si>
    <t>likes(bob,playing(board_games)).</t>
  </si>
  <si>
    <t>likes(bob,playing_board_games).</t>
  </si>
  <si>
    <t>likes(bob, eating(fruits)).</t>
  </si>
  <si>
    <t>likes(bob,eating(fruits)).</t>
  </si>
  <si>
    <t>likes(bob,eating_fruits).</t>
  </si>
  <si>
    <t>likes(bob, football).</t>
  </si>
  <si>
    <t>likes(bob,football).</t>
  </si>
  <si>
    <t>?- likes(bob, What).</t>
  </si>
  <si>
    <t>Query result: True
Solution: [{'What': 'playing(board_games)'}, {'What': 'eating(fruits)'}, {'What': 'football'}]</t>
  </si>
  <si>
    <t>?- likes(bob, X).</t>
  </si>
  <si>
    <t>Query result: True
Solution: [{'X': 'playing_board_games'}, {'X': 'eating(fruits)'}, {'X': 'football'}]</t>
  </si>
  <si>
    <t>?- likes(bob,X).</t>
  </si>
  <si>
    <t>Query result: True
Solution: [{'X': 'playing(board_games)'}, {'X': 'eating(fruits)'}, {'X': 'football'}]</t>
  </si>
  <si>
    <t>Query result: True
Solution: [{'X': 'playing_board_games'}, {'X': 'eating_fruits'}, {'X': 'football'}]</t>
  </si>
  <si>
    <t>happy(bob) :- likes(bob, Something).</t>
  </si>
  <si>
    <t>happy(bob) :- likes(bob, X).</t>
  </si>
  <si>
    <t>happy(bob) :- likes(bob, _).</t>
  </si>
  <si>
    <t>happy(bob) :- likes(bob,X).</t>
  </si>
  <si>
    <t>happy(bob) :- likes(bob,_).</t>
  </si>
  <si>
    <t>Query result: True
Solution: [{}, {}, {}]</t>
  </si>
  <si>
    <t>Query result: True
Solution: [{}, {}, {}]</t>
  </si>
  <si>
    <t>my_not(speaks(charlie, french)).</t>
  </si>
  <si>
    <t>not(speak(charlie,french)).</t>
  </si>
  <si>
    <t>not(speaks(charlie,french)).</t>
  </si>
  <si>
    <t>not_speaks(charlie,french).</t>
  </si>
  <si>
    <t>?- my_not(speaks(charlie, french)).</t>
  </si>
  <si>
    <t>?- \+ speaks(charlie,french).</t>
  </si>
  <si>
    <t>?- not(speaks(charlie,french)).</t>
  </si>
  <si>
    <t>?- not_speaks(charlie,french).</t>
  </si>
  <si>
    <t>plays(alice, piano).</t>
  </si>
  <si>
    <t>plays(alice,piano).</t>
  </si>
  <si>
    <t>plays(alice, violin).</t>
  </si>
  <si>
    <t>plays(alice,violin).</t>
  </si>
  <si>
    <t>?- plays(alice, Anything).</t>
  </si>
  <si>
    <t>Query result: True
Solution: [{'Anything': 'piano'}, {'Anything': 'violin'}]</t>
  </si>
  <si>
    <t>?- plays(alice, _).</t>
  </si>
  <si>
    <t>?- plays(alice,X).</t>
  </si>
  <si>
    <t>Query result: True
Solution: [{'X': 'piano'}, {'X': 'violin'}]</t>
  </si>
  <si>
    <t>?- plays(alice,_).</t>
  </si>
  <si>
    <t>?- studies(charlie, Subject).</t>
  </si>
  <si>
    <t>Query result: True
Solution: [{'Subject': 'literature'}]</t>
  </si>
  <si>
    <t>?- studies(charlie,X).</t>
  </si>
  <si>
    <t>Query result: True
Solution: [{'X': 'literature'}]</t>
  </si>
  <si>
    <t>my_not(likes(charlie, coffee)).</t>
  </si>
  <si>
    <t>not(likes(charlie,coffee)).</t>
  </si>
  <si>
    <t>not_likes(charlie,coffee).</t>
  </si>
  <si>
    <t>dislikes(charlie, coffee).</t>
  </si>
  <si>
    <t>dislikes(charlie,coffee).</t>
  </si>
  <si>
    <t>?- likes(charlie, coffee).</t>
  </si>
  <si>
    <t>?- likes(charlie,coffee).</t>
  </si>
  <si>
    <t>my_not(likes(bob, tea)).</t>
  </si>
  <si>
    <t>not(likes(bob,tea)).</t>
  </si>
  <si>
    <t>not_likes(bob,tea).</t>
  </si>
  <si>
    <t>dislikes(bob, tea).</t>
  </si>
  <si>
    <t>dislikes(bob,tea).</t>
  </si>
  <si>
    <t>?- likes(bob, tea).</t>
  </si>
  <si>
    <t>?- likes(bob,tea).</t>
  </si>
  <si>
    <t xml:space="preserve">
Query result: True
Solution: [{}]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</si>
</sst>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"/>
    <numFmt numFmtId="166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2" xfId="0" applyFont="1" applyNumberFormat="1"/>
    <xf borderId="0" fillId="0" fontId="1" numFmtId="0" xfId="0" applyFont="1"/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8" fontId="1" numFmtId="0" xfId="0" applyAlignment="1" applyFill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center" readingOrder="0"/>
    </xf>
    <xf borderId="0" fillId="0" fontId="1" numFmtId="1" xfId="0" applyFont="1" applyNumberFormat="1"/>
    <xf borderId="0" fillId="0" fontId="2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4.38"/>
    <col customWidth="1" min="3" max="3" width="13.25"/>
    <col customWidth="1" min="4" max="4" width="7.38"/>
    <col customWidth="1" min="5" max="5" width="27.63"/>
    <col customWidth="1" min="6" max="6" width="14.38"/>
    <col customWidth="1" min="8" max="8" width="7.38"/>
    <col customWidth="1" min="9" max="9" width="27.63"/>
    <col customWidth="1" min="10" max="10" width="14.38"/>
    <col customWidth="1" min="12" max="12" width="7.38"/>
    <col customWidth="1" min="13" max="13" width="27.0"/>
    <col customWidth="1" min="14" max="14" width="14.38"/>
    <col customWidth="1" min="17" max="17" width="27.63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14</v>
      </c>
      <c r="B2" s="7">
        <v>0.0516</v>
      </c>
      <c r="C2" s="7">
        <v>100.0</v>
      </c>
      <c r="D2" s="7" t="s">
        <v>15</v>
      </c>
      <c r="E2" s="7" t="s">
        <v>14</v>
      </c>
      <c r="F2" s="7">
        <v>1.79937</v>
      </c>
      <c r="G2" s="7">
        <v>100.0</v>
      </c>
      <c r="H2" s="7" t="s">
        <v>15</v>
      </c>
      <c r="I2" s="7" t="s">
        <v>14</v>
      </c>
      <c r="J2" s="7">
        <v>2.16017</v>
      </c>
      <c r="K2" s="7">
        <v>100.0</v>
      </c>
      <c r="L2" s="7" t="s">
        <v>15</v>
      </c>
      <c r="M2" s="7" t="s">
        <v>14</v>
      </c>
      <c r="N2" s="7">
        <v>7.56584</v>
      </c>
      <c r="O2" s="7">
        <v>100.0</v>
      </c>
      <c r="P2" s="7" t="s">
        <v>15</v>
      </c>
      <c r="Q2" s="7" t="s">
        <v>14</v>
      </c>
      <c r="R2" s="7">
        <v>7.21002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17</v>
      </c>
      <c r="B3" s="7">
        <v>0.03349</v>
      </c>
      <c r="C3" s="7">
        <v>100.0</v>
      </c>
      <c r="D3" s="7" t="s">
        <v>15</v>
      </c>
      <c r="E3" s="7" t="s">
        <v>17</v>
      </c>
      <c r="F3" s="7">
        <v>1.62214</v>
      </c>
      <c r="G3" s="7">
        <v>100.0</v>
      </c>
      <c r="H3" s="7" t="s">
        <v>15</v>
      </c>
      <c r="I3" s="7" t="s">
        <v>17</v>
      </c>
      <c r="J3" s="7">
        <v>1.85421</v>
      </c>
      <c r="K3" s="7">
        <v>100.0</v>
      </c>
      <c r="L3" s="7" t="s">
        <v>15</v>
      </c>
      <c r="M3" s="7" t="s">
        <v>17</v>
      </c>
      <c r="O3" s="7">
        <v>100.0</v>
      </c>
      <c r="P3" s="7" t="s">
        <v>15</v>
      </c>
      <c r="Q3" s="7" t="s">
        <v>17</v>
      </c>
      <c r="S3" s="7">
        <v>100.0</v>
      </c>
      <c r="T3" s="7" t="s">
        <v>15</v>
      </c>
      <c r="U3" s="8">
        <f>AVERAGE(B2:B1000)</f>
        <v>0.1203870886</v>
      </c>
      <c r="V3" s="8">
        <f>AVERAGE(F2:F1000)</f>
        <v>1.914680759</v>
      </c>
      <c r="W3" s="8">
        <f>AVERAGE(J2:J1000)</f>
        <v>1.976697595</v>
      </c>
      <c r="X3" s="8">
        <f>N2/COUNTA(M2:M1000)</f>
        <v>0.09577012658</v>
      </c>
      <c r="Y3" s="8">
        <f>R2/COUNTA(Q2:Q1000)</f>
        <v>0.09126607595</v>
      </c>
      <c r="Z3" s="7" t="s">
        <v>18</v>
      </c>
    </row>
    <row r="4">
      <c r="A4" s="7" t="s">
        <v>19</v>
      </c>
      <c r="B4" s="7">
        <v>0.04957</v>
      </c>
      <c r="C4" s="7">
        <v>100.0</v>
      </c>
      <c r="D4" s="7" t="s">
        <v>15</v>
      </c>
      <c r="E4" s="7" t="s">
        <v>19</v>
      </c>
      <c r="F4" s="7">
        <v>1.65342</v>
      </c>
      <c r="G4" s="7">
        <v>100.0</v>
      </c>
      <c r="H4" s="7" t="s">
        <v>15</v>
      </c>
      <c r="I4" s="7" t="s">
        <v>19</v>
      </c>
      <c r="J4" s="7">
        <v>1.82256</v>
      </c>
      <c r="K4" s="7">
        <v>100.0</v>
      </c>
      <c r="L4" s="7" t="s">
        <v>15</v>
      </c>
      <c r="M4" s="7" t="s">
        <v>19</v>
      </c>
      <c r="O4" s="7">
        <v>100.0</v>
      </c>
      <c r="P4" s="7" t="s">
        <v>15</v>
      </c>
      <c r="Q4" s="7" t="s">
        <v>19</v>
      </c>
      <c r="S4" s="7">
        <v>100.0</v>
      </c>
      <c r="T4" s="7" t="s">
        <v>15</v>
      </c>
      <c r="U4" s="8">
        <f>STDEV(B2:B1000)</f>
        <v>0.1079227378</v>
      </c>
      <c r="V4" s="8">
        <f>STDEV(F2:F1000)</f>
        <v>0.3419864322</v>
      </c>
      <c r="W4" s="8">
        <f>STDEV(J2:J1000)</f>
        <v>0.5051398846</v>
      </c>
      <c r="X4" s="8"/>
      <c r="Y4" s="8"/>
      <c r="Z4" s="7" t="s">
        <v>20</v>
      </c>
    </row>
    <row r="5">
      <c r="A5" s="7" t="s">
        <v>21</v>
      </c>
      <c r="B5" s="7">
        <v>0.03434</v>
      </c>
      <c r="C5" s="7">
        <v>100.0</v>
      </c>
      <c r="D5" s="7" t="s">
        <v>15</v>
      </c>
      <c r="E5" s="7" t="s">
        <v>21</v>
      </c>
      <c r="F5" s="7">
        <v>1.68879</v>
      </c>
      <c r="G5" s="7">
        <v>100.0</v>
      </c>
      <c r="H5" s="7" t="s">
        <v>15</v>
      </c>
      <c r="I5" s="7" t="s">
        <v>21</v>
      </c>
      <c r="J5" s="7">
        <v>1.78571</v>
      </c>
      <c r="K5" s="7">
        <v>100.0</v>
      </c>
      <c r="L5" s="7" t="s">
        <v>15</v>
      </c>
      <c r="M5" s="7" t="s">
        <v>21</v>
      </c>
      <c r="O5" s="7">
        <v>100.0</v>
      </c>
      <c r="P5" s="7" t="s">
        <v>15</v>
      </c>
      <c r="Q5" s="7" t="s">
        <v>21</v>
      </c>
      <c r="S5" s="7">
        <v>100.0</v>
      </c>
      <c r="T5" s="7" t="s">
        <v>15</v>
      </c>
      <c r="U5" s="8">
        <f>MAX(B2:B1000)</f>
        <v>0.71802</v>
      </c>
      <c r="V5" s="8">
        <f>MAX(F2:F1000)</f>
        <v>3.34037</v>
      </c>
      <c r="W5" s="8">
        <f>MAX(J2:J1000)</f>
        <v>5.70547</v>
      </c>
      <c r="X5" s="8"/>
      <c r="Y5" s="8"/>
      <c r="Z5" s="7" t="s">
        <v>22</v>
      </c>
    </row>
    <row r="6">
      <c r="A6" s="7" t="s">
        <v>23</v>
      </c>
      <c r="B6" s="7">
        <v>0.07918</v>
      </c>
      <c r="C6" s="7">
        <v>100.0</v>
      </c>
      <c r="D6" s="7" t="s">
        <v>15</v>
      </c>
      <c r="E6" s="7" t="s">
        <v>23</v>
      </c>
      <c r="F6" s="7">
        <v>2.62105</v>
      </c>
      <c r="G6" s="7">
        <v>100.0</v>
      </c>
      <c r="H6" s="7" t="s">
        <v>15</v>
      </c>
      <c r="I6" s="7" t="s">
        <v>23</v>
      </c>
      <c r="J6" s="7">
        <v>1.81986</v>
      </c>
      <c r="K6" s="7">
        <v>100.0</v>
      </c>
      <c r="L6" s="7" t="s">
        <v>15</v>
      </c>
      <c r="M6" s="7" t="s">
        <v>23</v>
      </c>
      <c r="O6" s="7">
        <v>100.0</v>
      </c>
      <c r="P6" s="7" t="s">
        <v>15</v>
      </c>
      <c r="Q6" s="7" t="s">
        <v>23</v>
      </c>
      <c r="S6" s="7">
        <v>100.0</v>
      </c>
      <c r="T6" s="7" t="s">
        <v>15</v>
      </c>
      <c r="U6" s="8">
        <f>MIN(B2:B1000)</f>
        <v>0.02891</v>
      </c>
      <c r="V6" s="8">
        <f>MIN(F2:F1000)</f>
        <v>1.57285</v>
      </c>
      <c r="W6" s="8">
        <f>MIN(J2:J1000)</f>
        <v>1.61636</v>
      </c>
      <c r="X6" s="8"/>
      <c r="Y6" s="8"/>
      <c r="Z6" s="7" t="s">
        <v>24</v>
      </c>
    </row>
    <row r="7">
      <c r="A7" s="7" t="s">
        <v>25</v>
      </c>
      <c r="B7" s="7">
        <v>0.03313</v>
      </c>
      <c r="C7" s="7">
        <v>50.0</v>
      </c>
      <c r="D7" s="7" t="s">
        <v>26</v>
      </c>
      <c r="E7" s="7" t="s">
        <v>27</v>
      </c>
      <c r="F7" s="7">
        <v>1.75701</v>
      </c>
      <c r="G7" s="7">
        <v>100.0</v>
      </c>
      <c r="H7" s="7" t="s">
        <v>15</v>
      </c>
      <c r="I7" s="7" t="s">
        <v>27</v>
      </c>
      <c r="J7" s="7">
        <v>1.77441</v>
      </c>
      <c r="K7" s="7">
        <v>100.0</v>
      </c>
      <c r="L7" s="7" t="s">
        <v>15</v>
      </c>
      <c r="M7" s="7" t="s">
        <v>27</v>
      </c>
      <c r="O7" s="7">
        <v>100.0</v>
      </c>
      <c r="P7" s="7" t="s">
        <v>15</v>
      </c>
      <c r="Q7" s="7" t="s">
        <v>27</v>
      </c>
      <c r="S7" s="7">
        <v>100.0</v>
      </c>
      <c r="T7" s="7" t="s">
        <v>15</v>
      </c>
      <c r="U7" s="8">
        <f>SUM(B2:B1000)</f>
        <v>9.51058</v>
      </c>
      <c r="V7" s="8">
        <f>SUM(F2:F1000)</f>
        <v>151.25978</v>
      </c>
      <c r="W7" s="8">
        <f>SUM(J2:J1000)</f>
        <v>156.15911</v>
      </c>
      <c r="X7" s="8">
        <f>N2</f>
        <v>7.56584</v>
      </c>
      <c r="Y7" s="8">
        <f>R2</f>
        <v>7.21002</v>
      </c>
      <c r="Z7" s="7" t="s">
        <v>28</v>
      </c>
    </row>
    <row r="8">
      <c r="A8" s="7" t="s">
        <v>29</v>
      </c>
      <c r="B8" s="7">
        <v>0.03362</v>
      </c>
      <c r="C8" s="7">
        <v>47.83</v>
      </c>
      <c r="D8" s="7" t="s">
        <v>26</v>
      </c>
      <c r="E8" s="7" t="s">
        <v>30</v>
      </c>
      <c r="F8" s="7">
        <v>1.73219</v>
      </c>
      <c r="G8" s="7">
        <v>100.0</v>
      </c>
      <c r="H8" s="7" t="s">
        <v>15</v>
      </c>
      <c r="I8" s="7" t="s">
        <v>30</v>
      </c>
      <c r="J8" s="7">
        <v>1.91408</v>
      </c>
      <c r="K8" s="7">
        <v>100.0</v>
      </c>
      <c r="L8" s="7" t="s">
        <v>15</v>
      </c>
      <c r="M8" s="7" t="s">
        <v>30</v>
      </c>
      <c r="O8" s="7">
        <v>100.0</v>
      </c>
      <c r="P8" s="7" t="s">
        <v>15</v>
      </c>
      <c r="Q8" s="7" t="s">
        <v>30</v>
      </c>
      <c r="S8" s="7">
        <v>100.0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32</v>
      </c>
      <c r="B9" s="7">
        <v>0.03106</v>
      </c>
      <c r="C9" s="7">
        <v>100.0</v>
      </c>
      <c r="D9" s="7" t="s">
        <v>15</v>
      </c>
      <c r="E9" s="7" t="s">
        <v>33</v>
      </c>
      <c r="F9" s="7">
        <v>1.68843</v>
      </c>
      <c r="G9" s="7">
        <v>100.0</v>
      </c>
      <c r="H9" s="7" t="s">
        <v>15</v>
      </c>
      <c r="I9" s="7" t="s">
        <v>33</v>
      </c>
      <c r="J9" s="7">
        <v>1.94461</v>
      </c>
      <c r="K9" s="7">
        <v>100.0</v>
      </c>
      <c r="L9" s="7" t="s">
        <v>15</v>
      </c>
      <c r="M9" s="7" t="s">
        <v>33</v>
      </c>
      <c r="O9" s="7">
        <v>100.0</v>
      </c>
      <c r="P9" s="7" t="s">
        <v>15</v>
      </c>
      <c r="Q9" s="7" t="s">
        <v>33</v>
      </c>
      <c r="S9" s="7">
        <v>100.0</v>
      </c>
      <c r="T9" s="7" t="s">
        <v>15</v>
      </c>
      <c r="U9" s="9">
        <f>AVERAGE(C2:C1000)</f>
        <v>87.58582278</v>
      </c>
      <c r="V9" s="9">
        <f>AVERAGE(G2:G1000)</f>
        <v>91.92177215</v>
      </c>
      <c r="W9" s="9">
        <f>AVERAGE(K2:K1000)</f>
        <v>91.09822785</v>
      </c>
      <c r="X9" s="9">
        <f>AVERAGE(O2:O1000)</f>
        <v>91.54962025</v>
      </c>
      <c r="Y9" s="9">
        <f>AVERAGE(S2:S1000)</f>
        <v>91.80987342</v>
      </c>
      <c r="Z9" s="7" t="s">
        <v>18</v>
      </c>
    </row>
    <row r="10">
      <c r="A10" s="7" t="s">
        <v>34</v>
      </c>
      <c r="B10" s="7">
        <v>0.14971</v>
      </c>
      <c r="C10" s="7">
        <v>100.0</v>
      </c>
      <c r="D10" s="7" t="s">
        <v>15</v>
      </c>
      <c r="E10" s="7" t="s">
        <v>35</v>
      </c>
      <c r="F10" s="7">
        <v>1.70404</v>
      </c>
      <c r="G10" s="7">
        <v>100.0</v>
      </c>
      <c r="H10" s="7" t="s">
        <v>15</v>
      </c>
      <c r="I10" s="7" t="s">
        <v>35</v>
      </c>
      <c r="J10" s="7">
        <v>1.7192</v>
      </c>
      <c r="K10" s="7">
        <v>100.0</v>
      </c>
      <c r="L10" s="7" t="s">
        <v>15</v>
      </c>
      <c r="M10" s="7" t="s">
        <v>35</v>
      </c>
      <c r="O10" s="7">
        <v>100.0</v>
      </c>
      <c r="P10" s="7" t="s">
        <v>15</v>
      </c>
      <c r="Q10" s="7" t="s">
        <v>35</v>
      </c>
      <c r="S10" s="7">
        <v>100.0</v>
      </c>
      <c r="T10" s="7" t="s">
        <v>15</v>
      </c>
      <c r="U10" s="9">
        <f>STDEV(C2:C1000)</f>
        <v>17.5560551</v>
      </c>
      <c r="V10" s="9">
        <f>STDEV(G2:G1000)</f>
        <v>14.28610117</v>
      </c>
      <c r="W10" s="9">
        <f>STDEV(K2:K1000)</f>
        <v>15.11384776</v>
      </c>
      <c r="X10" s="9">
        <f>STDEV(O2:O1000)</f>
        <v>14.52216956</v>
      </c>
      <c r="Y10" s="9">
        <f>STDEV(S2:S1000)</f>
        <v>13.77696605</v>
      </c>
      <c r="Z10" s="7" t="s">
        <v>20</v>
      </c>
    </row>
    <row r="11">
      <c r="A11" s="7" t="s">
        <v>36</v>
      </c>
      <c r="B11" s="7">
        <v>0.08482</v>
      </c>
      <c r="C11" s="7">
        <v>100.0</v>
      </c>
      <c r="D11" s="7" t="s">
        <v>15</v>
      </c>
      <c r="E11" s="7" t="s">
        <v>37</v>
      </c>
      <c r="F11" s="7">
        <v>2.23138</v>
      </c>
      <c r="G11" s="7">
        <v>100.0</v>
      </c>
      <c r="H11" s="7" t="s">
        <v>15</v>
      </c>
      <c r="I11" s="7" t="s">
        <v>37</v>
      </c>
      <c r="J11" s="7">
        <v>1.94391</v>
      </c>
      <c r="K11" s="7">
        <v>100.0</v>
      </c>
      <c r="L11" s="7" t="s">
        <v>15</v>
      </c>
      <c r="M11" s="7" t="s">
        <v>37</v>
      </c>
      <c r="O11" s="7">
        <v>100.0</v>
      </c>
      <c r="P11" s="7" t="s">
        <v>15</v>
      </c>
      <c r="Q11" s="7" t="s">
        <v>37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38</v>
      </c>
      <c r="B12" s="7">
        <v>0.33332</v>
      </c>
      <c r="C12" s="7">
        <v>100.0</v>
      </c>
      <c r="D12" s="7" t="s">
        <v>15</v>
      </c>
      <c r="E12" s="7" t="s">
        <v>39</v>
      </c>
      <c r="F12" s="7">
        <v>2.81515</v>
      </c>
      <c r="G12" s="7">
        <v>100.0</v>
      </c>
      <c r="H12" s="7" t="s">
        <v>15</v>
      </c>
      <c r="I12" s="7" t="s">
        <v>39</v>
      </c>
      <c r="J12" s="7">
        <v>1.90928</v>
      </c>
      <c r="K12" s="7">
        <v>100.0</v>
      </c>
      <c r="L12" s="7" t="s">
        <v>15</v>
      </c>
      <c r="M12" s="7" t="s">
        <v>39</v>
      </c>
      <c r="O12" s="7">
        <v>100.0</v>
      </c>
      <c r="P12" s="7" t="s">
        <v>15</v>
      </c>
      <c r="Q12" s="7" t="s">
        <v>39</v>
      </c>
      <c r="S12" s="7">
        <v>100.0</v>
      </c>
      <c r="T12" s="7" t="s">
        <v>15</v>
      </c>
      <c r="U12" s="9">
        <f>MIN(C2:C1000)</f>
        <v>41.67</v>
      </c>
      <c r="V12" s="9">
        <f>MIN(G2:G1000)</f>
        <v>41.67</v>
      </c>
      <c r="W12" s="9">
        <f>MIN(K2:K1000)</f>
        <v>41.67</v>
      </c>
      <c r="X12" s="9">
        <f>MIN(O2:O1000)</f>
        <v>41.67</v>
      </c>
      <c r="Y12" s="9">
        <f>MIN(S2:S1000)</f>
        <v>41.67</v>
      </c>
      <c r="Z12" s="7" t="s">
        <v>24</v>
      </c>
    </row>
    <row r="13">
      <c r="A13" s="7" t="s">
        <v>40</v>
      </c>
      <c r="B13" s="7">
        <v>0.16596</v>
      </c>
      <c r="C13" s="7">
        <v>100.0</v>
      </c>
      <c r="D13" s="7" t="s">
        <v>15</v>
      </c>
      <c r="E13" s="7" t="s">
        <v>41</v>
      </c>
      <c r="F13" s="7">
        <v>1.79545</v>
      </c>
      <c r="G13" s="7">
        <v>100.0</v>
      </c>
      <c r="H13" s="7" t="s">
        <v>15</v>
      </c>
      <c r="I13" s="7" t="s">
        <v>41</v>
      </c>
      <c r="J13" s="7">
        <v>2.03709</v>
      </c>
      <c r="K13" s="7">
        <v>100.0</v>
      </c>
      <c r="L13" s="7" t="s">
        <v>15</v>
      </c>
      <c r="M13" s="7" t="s">
        <v>41</v>
      </c>
      <c r="O13" s="7">
        <v>100.0</v>
      </c>
      <c r="P13" s="7" t="s">
        <v>15</v>
      </c>
      <c r="Q13" s="7" t="s">
        <v>41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42</v>
      </c>
      <c r="B14" s="7">
        <v>0.23779</v>
      </c>
      <c r="C14" s="7">
        <v>76.92</v>
      </c>
      <c r="D14" s="7" t="s">
        <v>26</v>
      </c>
      <c r="E14" s="7" t="s">
        <v>43</v>
      </c>
      <c r="F14" s="7">
        <v>1.80216</v>
      </c>
      <c r="G14" s="7">
        <v>76.92</v>
      </c>
      <c r="H14" s="7" t="s">
        <v>26</v>
      </c>
      <c r="I14" s="7" t="s">
        <v>43</v>
      </c>
      <c r="J14" s="7">
        <v>1.92928</v>
      </c>
      <c r="K14" s="7">
        <v>76.92</v>
      </c>
      <c r="L14" s="7" t="s">
        <v>26</v>
      </c>
      <c r="M14" s="7" t="s">
        <v>43</v>
      </c>
      <c r="O14" s="7">
        <v>76.92</v>
      </c>
      <c r="P14" s="7" t="s">
        <v>26</v>
      </c>
      <c r="Q14" s="7" t="s">
        <v>43</v>
      </c>
      <c r="S14" s="7">
        <v>76.92</v>
      </c>
      <c r="T14" s="7" t="s">
        <v>26</v>
      </c>
      <c r="U14" s="8">
        <f t="shared" ref="U14:Y14" si="1">U15/(U15+U16+U17)</f>
        <v>0.5696202532</v>
      </c>
      <c r="V14" s="8">
        <f t="shared" si="1"/>
        <v>0.6962025316</v>
      </c>
      <c r="W14" s="8">
        <f t="shared" si="1"/>
        <v>0.6835443038</v>
      </c>
      <c r="X14" s="8">
        <f t="shared" si="1"/>
        <v>0.6835443038</v>
      </c>
      <c r="Y14" s="8">
        <f t="shared" si="1"/>
        <v>0.6835443038</v>
      </c>
      <c r="Z14" s="7" t="s">
        <v>44</v>
      </c>
    </row>
    <row r="15">
      <c r="A15" s="7" t="s">
        <v>45</v>
      </c>
      <c r="B15" s="7">
        <v>0.15613</v>
      </c>
      <c r="C15" s="7">
        <v>79.07</v>
      </c>
      <c r="D15" s="7" t="s">
        <v>26</v>
      </c>
      <c r="E15" s="7" t="s">
        <v>46</v>
      </c>
      <c r="F15" s="7">
        <v>1.8005</v>
      </c>
      <c r="G15" s="7">
        <v>79.07</v>
      </c>
      <c r="H15" s="7" t="s">
        <v>26</v>
      </c>
      <c r="I15" s="7" t="s">
        <v>46</v>
      </c>
      <c r="J15" s="7">
        <v>1.65663</v>
      </c>
      <c r="K15" s="7">
        <v>79.07</v>
      </c>
      <c r="L15" s="7" t="s">
        <v>26</v>
      </c>
      <c r="M15" s="7" t="s">
        <v>46</v>
      </c>
      <c r="O15" s="7">
        <v>79.07</v>
      </c>
      <c r="P15" s="7" t="s">
        <v>26</v>
      </c>
      <c r="Q15" s="7" t="s">
        <v>46</v>
      </c>
      <c r="S15" s="7">
        <v>79.07</v>
      </c>
      <c r="T15" s="7" t="s">
        <v>26</v>
      </c>
      <c r="U15" s="10">
        <f>COUNTIF(D2:D1000,"VALID")</f>
        <v>45</v>
      </c>
      <c r="V15" s="10">
        <f>COUNTIF(H2:H1000,"VALID")</f>
        <v>55</v>
      </c>
      <c r="W15" s="10">
        <f>COUNTIF(L2:L1000,"VALID")</f>
        <v>54</v>
      </c>
      <c r="X15" s="10">
        <f>COUNTIF(P2:P1000,"VALID")</f>
        <v>54</v>
      </c>
      <c r="Y15" s="10">
        <f>COUNTIF(T2:T1000,"VALID")</f>
        <v>54</v>
      </c>
      <c r="Z15" s="7" t="s">
        <v>47</v>
      </c>
    </row>
    <row r="16">
      <c r="A16" s="7" t="s">
        <v>48</v>
      </c>
      <c r="B16" s="7">
        <v>0.08798</v>
      </c>
      <c r="C16" s="7">
        <v>83.33</v>
      </c>
      <c r="D16" s="7" t="s">
        <v>26</v>
      </c>
      <c r="E16" s="7" t="s">
        <v>49</v>
      </c>
      <c r="F16" s="7">
        <v>1.77506</v>
      </c>
      <c r="G16" s="7">
        <v>80.85</v>
      </c>
      <c r="H16" s="7" t="s">
        <v>26</v>
      </c>
      <c r="I16" s="7" t="s">
        <v>49</v>
      </c>
      <c r="J16" s="7">
        <v>2.71059</v>
      </c>
      <c r="K16" s="7">
        <v>80.85</v>
      </c>
      <c r="L16" s="7" t="s">
        <v>26</v>
      </c>
      <c r="M16" s="7" t="s">
        <v>49</v>
      </c>
      <c r="O16" s="7">
        <v>80.85</v>
      </c>
      <c r="P16" s="7" t="s">
        <v>26</v>
      </c>
      <c r="Q16" s="7" t="s">
        <v>49</v>
      </c>
      <c r="S16" s="7">
        <v>80.85</v>
      </c>
      <c r="T16" s="7" t="s">
        <v>26</v>
      </c>
      <c r="U16" s="10">
        <f>COUNTIF(D2:D1000,"INVALID")</f>
        <v>33</v>
      </c>
      <c r="V16" s="10">
        <f>COUNTIF(H2:H1000,"INVALID")</f>
        <v>24</v>
      </c>
      <c r="W16" s="10">
        <f>COUNTIF(L2:L1000,"INVALID")</f>
        <v>25</v>
      </c>
      <c r="X16" s="10">
        <f>COUNTIF(P2:P1000,"INVALID")</f>
        <v>25</v>
      </c>
      <c r="Y16" s="10">
        <f>COUNTIF(T2:T1000,"INVALID")</f>
        <v>25</v>
      </c>
      <c r="Z16" s="7" t="s">
        <v>50</v>
      </c>
    </row>
    <row r="17">
      <c r="A17" s="7" t="s">
        <v>51</v>
      </c>
      <c r="B17" s="7">
        <v>0.3302</v>
      </c>
      <c r="C17" s="7">
        <v>79.07</v>
      </c>
      <c r="D17" s="7" t="s">
        <v>26</v>
      </c>
      <c r="E17" s="7" t="s">
        <v>52</v>
      </c>
      <c r="F17" s="7">
        <v>2.02891</v>
      </c>
      <c r="G17" s="7">
        <v>79.07</v>
      </c>
      <c r="H17" s="7" t="s">
        <v>26</v>
      </c>
      <c r="I17" s="7" t="s">
        <v>52</v>
      </c>
      <c r="J17" s="7">
        <v>2.55929</v>
      </c>
      <c r="K17" s="7">
        <v>79.07</v>
      </c>
      <c r="L17" s="7" t="s">
        <v>26</v>
      </c>
      <c r="M17" s="7" t="s">
        <v>52</v>
      </c>
      <c r="O17" s="7">
        <v>79.07</v>
      </c>
      <c r="P17" s="7" t="s">
        <v>26</v>
      </c>
      <c r="Q17" s="7" t="s">
        <v>52</v>
      </c>
      <c r="S17" s="7">
        <v>79.07</v>
      </c>
      <c r="T17" s="7" t="s">
        <v>26</v>
      </c>
      <c r="U17" s="10">
        <f>COUNTIF(D2:D1000,"ERROR")</f>
        <v>1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54</v>
      </c>
      <c r="B18" s="7">
        <v>0.15685</v>
      </c>
      <c r="C18" s="7">
        <v>70.97</v>
      </c>
      <c r="D18" s="7" t="s">
        <v>26</v>
      </c>
      <c r="E18" s="7" t="s">
        <v>55</v>
      </c>
      <c r="F18" s="7">
        <v>2.33076</v>
      </c>
      <c r="G18" s="7">
        <v>100.0</v>
      </c>
      <c r="H18" s="7" t="s">
        <v>15</v>
      </c>
      <c r="I18" s="7" t="s">
        <v>56</v>
      </c>
      <c r="J18" s="7">
        <v>1.81935</v>
      </c>
      <c r="K18" s="7">
        <v>58.06</v>
      </c>
      <c r="L18" s="7" t="s">
        <v>26</v>
      </c>
      <c r="M18" s="7" t="s">
        <v>54</v>
      </c>
      <c r="O18" s="7">
        <v>70.97</v>
      </c>
      <c r="P18" s="7" t="s">
        <v>26</v>
      </c>
      <c r="Q18" s="7" t="s">
        <v>54</v>
      </c>
      <c r="S18" s="7">
        <v>70.97</v>
      </c>
      <c r="T18" s="7" t="s">
        <v>26</v>
      </c>
      <c r="U18" s="11">
        <f t="shared" ref="U18:Y18" si="2">U17/(U17+U16+U15)</f>
        <v>0.01265822785</v>
      </c>
      <c r="V18" s="11">
        <f t="shared" si="2"/>
        <v>0</v>
      </c>
      <c r="W18" s="11">
        <f t="shared" si="2"/>
        <v>0</v>
      </c>
      <c r="X18" s="11">
        <f t="shared" si="2"/>
        <v>0</v>
      </c>
      <c r="Y18" s="11">
        <f t="shared" si="2"/>
        <v>0</v>
      </c>
      <c r="Z18" s="12" t="s">
        <v>57</v>
      </c>
    </row>
    <row r="19">
      <c r="A19" s="7" t="s">
        <v>58</v>
      </c>
      <c r="B19" s="7">
        <v>0.07241</v>
      </c>
      <c r="C19" s="7">
        <v>77.78</v>
      </c>
      <c r="D19" s="7" t="s">
        <v>26</v>
      </c>
      <c r="E19" s="7" t="s">
        <v>59</v>
      </c>
      <c r="F19" s="7">
        <v>1.85613</v>
      </c>
      <c r="G19" s="7">
        <v>74.29</v>
      </c>
      <c r="H19" s="7" t="s">
        <v>26</v>
      </c>
      <c r="I19" s="7" t="s">
        <v>60</v>
      </c>
      <c r="J19" s="7">
        <v>1.85381</v>
      </c>
      <c r="K19" s="7">
        <v>50.0</v>
      </c>
      <c r="L19" s="7" t="s">
        <v>26</v>
      </c>
      <c r="M19" s="7" t="s">
        <v>59</v>
      </c>
      <c r="O19" s="7">
        <v>74.29</v>
      </c>
      <c r="P19" s="7" t="s">
        <v>26</v>
      </c>
      <c r="Q19" s="7" t="s">
        <v>59</v>
      </c>
      <c r="S19" s="7">
        <v>74.29</v>
      </c>
      <c r="T19" s="7" t="s">
        <v>26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62</v>
      </c>
      <c r="B20" s="7">
        <v>0.23585</v>
      </c>
      <c r="C20" s="7">
        <v>74.29</v>
      </c>
      <c r="D20" s="7" t="s">
        <v>26</v>
      </c>
      <c r="E20" s="7" t="s">
        <v>62</v>
      </c>
      <c r="F20" s="7">
        <v>1.83279</v>
      </c>
      <c r="G20" s="7">
        <v>74.29</v>
      </c>
      <c r="H20" s="7" t="s">
        <v>26</v>
      </c>
      <c r="I20" s="7" t="s">
        <v>62</v>
      </c>
      <c r="J20" s="7">
        <v>1.68635</v>
      </c>
      <c r="K20" s="7">
        <v>74.29</v>
      </c>
      <c r="L20" s="7" t="s">
        <v>26</v>
      </c>
      <c r="M20" s="7" t="s">
        <v>62</v>
      </c>
      <c r="O20" s="7">
        <v>74.29</v>
      </c>
      <c r="P20" s="7" t="s">
        <v>26</v>
      </c>
      <c r="Q20" s="7" t="s">
        <v>62</v>
      </c>
      <c r="S20" s="7">
        <v>74.29</v>
      </c>
      <c r="T20" s="7" t="s">
        <v>26</v>
      </c>
      <c r="U20" s="10">
        <f>COUNTIF(C2:C1000,100)/COUNTA(A2:A1000)</f>
        <v>0.5696202532</v>
      </c>
      <c r="V20" s="10">
        <f>COUNTIF(G2:G1000,100)/COUNTA(E2:E1000)</f>
        <v>0.6962025316</v>
      </c>
      <c r="W20" s="10">
        <f>COUNTIF(K2:K1000,100)/COUNTA(I2:I1000)</f>
        <v>0.6835443038</v>
      </c>
      <c r="X20" s="10">
        <f>COUNTIF(O2:O1000,100)/COUNTA(M2:M1000)</f>
        <v>0.6835443038</v>
      </c>
      <c r="Y20" s="10">
        <f>COUNTIF(S2:S1000,100)/COUNTA(Q2:Q1000)</f>
        <v>0.6835443038</v>
      </c>
      <c r="Z20" s="7" t="s">
        <v>63</v>
      </c>
    </row>
    <row r="21">
      <c r="A21" s="7" t="s">
        <v>64</v>
      </c>
      <c r="B21" s="7">
        <v>0.24203</v>
      </c>
      <c r="C21" s="7">
        <v>100.0</v>
      </c>
      <c r="D21" s="7" t="s">
        <v>15</v>
      </c>
      <c r="E21" s="7" t="s">
        <v>64</v>
      </c>
      <c r="F21" s="7">
        <v>1.84635</v>
      </c>
      <c r="G21" s="7">
        <v>100.0</v>
      </c>
      <c r="H21" s="7" t="s">
        <v>15</v>
      </c>
      <c r="I21" s="7" t="s">
        <v>64</v>
      </c>
      <c r="J21" s="7">
        <v>1.83642</v>
      </c>
      <c r="K21" s="7">
        <v>100.0</v>
      </c>
      <c r="L21" s="7" t="s">
        <v>15</v>
      </c>
      <c r="M21" s="7" t="s">
        <v>64</v>
      </c>
      <c r="O21" s="7">
        <v>100.0</v>
      </c>
      <c r="P21" s="7" t="s">
        <v>15</v>
      </c>
      <c r="Q21" s="7" t="s">
        <v>64</v>
      </c>
      <c r="S21" s="7">
        <v>100.0</v>
      </c>
      <c r="T21" s="7" t="s">
        <v>15</v>
      </c>
      <c r="U21" s="10">
        <f>COUNTIF(C2:C1000,100)</f>
        <v>45</v>
      </c>
      <c r="V21" s="10">
        <f>COUNTIF(G2:G1000,100)</f>
        <v>55</v>
      </c>
      <c r="W21" s="10">
        <f>COUNTIF(K2:K1000,100)</f>
        <v>54</v>
      </c>
      <c r="X21" s="10">
        <f>COUNTIF(O2:O1000,100)</f>
        <v>54</v>
      </c>
      <c r="Y21" s="10">
        <f>COUNTIF(S2:S1000,100)</f>
        <v>54</v>
      </c>
      <c r="Z21" s="7" t="s">
        <v>65</v>
      </c>
    </row>
    <row r="22">
      <c r="A22" s="7" t="s">
        <v>66</v>
      </c>
      <c r="B22" s="7">
        <v>0.24146</v>
      </c>
      <c r="C22" s="7">
        <v>55.81</v>
      </c>
      <c r="D22" s="7" t="s">
        <v>26</v>
      </c>
      <c r="E22" s="7" t="s">
        <v>67</v>
      </c>
      <c r="F22" s="7">
        <v>1.7855</v>
      </c>
      <c r="G22" s="7">
        <v>61.9</v>
      </c>
      <c r="H22" s="7" t="s">
        <v>26</v>
      </c>
      <c r="I22" s="7" t="s">
        <v>67</v>
      </c>
      <c r="J22" s="7">
        <v>1.90542</v>
      </c>
      <c r="K22" s="7">
        <v>61.9</v>
      </c>
      <c r="L22" s="7" t="s">
        <v>26</v>
      </c>
      <c r="M22" s="7" t="s">
        <v>67</v>
      </c>
      <c r="O22" s="7">
        <v>61.9</v>
      </c>
      <c r="P22" s="7" t="s">
        <v>26</v>
      </c>
      <c r="Q22" s="7" t="s">
        <v>68</v>
      </c>
      <c r="S22" s="7">
        <v>71.43</v>
      </c>
      <c r="T22" s="7" t="s">
        <v>26</v>
      </c>
      <c r="U22" s="10">
        <f>COUNTA(A2:A1000)-COUNTIF(C2:C1000,100)</f>
        <v>34</v>
      </c>
      <c r="V22" s="10">
        <f>COUNTA(E2:E1000)-COUNTIF(G2:G1000,100)</f>
        <v>24</v>
      </c>
      <c r="W22" s="10">
        <f>COUNTA(I2:I1000)-COUNTIF(K2:K1000,100)</f>
        <v>25</v>
      </c>
      <c r="X22" s="10">
        <f>COUNTA(M2:M1000)-COUNTIF(O2:O1000,100)</f>
        <v>25</v>
      </c>
      <c r="Y22" s="10">
        <f>COUNTA(Q2:Q1000)-COUNTIF(S2:S1000,100)</f>
        <v>25</v>
      </c>
      <c r="Z22" s="7" t="s">
        <v>69</v>
      </c>
    </row>
    <row r="23">
      <c r="A23" s="7" t="s">
        <v>70</v>
      </c>
      <c r="B23" s="7">
        <v>0.20047</v>
      </c>
      <c r="C23" s="7">
        <v>100.0</v>
      </c>
      <c r="D23" s="7" t="s">
        <v>15</v>
      </c>
      <c r="E23" s="7" t="s">
        <v>70</v>
      </c>
      <c r="F23" s="7">
        <v>3.22952</v>
      </c>
      <c r="G23" s="7">
        <v>100.0</v>
      </c>
      <c r="H23" s="7" t="s">
        <v>15</v>
      </c>
      <c r="I23" s="7" t="s">
        <v>70</v>
      </c>
      <c r="J23" s="7">
        <v>1.70058</v>
      </c>
      <c r="K23" s="7">
        <v>100.0</v>
      </c>
      <c r="L23" s="7" t="s">
        <v>15</v>
      </c>
      <c r="M23" s="7" t="s">
        <v>70</v>
      </c>
      <c r="O23" s="7">
        <v>100.0</v>
      </c>
      <c r="P23" s="7" t="s">
        <v>15</v>
      </c>
      <c r="Q23" s="7" t="s">
        <v>70</v>
      </c>
      <c r="S23" s="7">
        <v>100.0</v>
      </c>
      <c r="T23" s="7" t="s">
        <v>15</v>
      </c>
    </row>
    <row r="24">
      <c r="A24" s="7" t="s">
        <v>71</v>
      </c>
      <c r="B24" s="7">
        <v>0.23834</v>
      </c>
      <c r="C24" s="7">
        <v>53.33</v>
      </c>
      <c r="D24" s="7" t="s">
        <v>26</v>
      </c>
      <c r="E24" s="7" t="s">
        <v>72</v>
      </c>
      <c r="F24" s="7">
        <v>1.67358</v>
      </c>
      <c r="G24" s="7">
        <v>59.09</v>
      </c>
      <c r="H24" s="7" t="s">
        <v>26</v>
      </c>
      <c r="I24" s="7" t="s">
        <v>72</v>
      </c>
      <c r="J24" s="7">
        <v>1.75292</v>
      </c>
      <c r="K24" s="7">
        <v>59.09</v>
      </c>
      <c r="L24" s="7" t="s">
        <v>26</v>
      </c>
      <c r="M24" s="7" t="s">
        <v>72</v>
      </c>
      <c r="O24" s="7">
        <v>59.09</v>
      </c>
      <c r="P24" s="7" t="s">
        <v>26</v>
      </c>
      <c r="Q24" s="7" t="s">
        <v>73</v>
      </c>
      <c r="S24" s="7">
        <v>72.73</v>
      </c>
      <c r="T24" s="7" t="s">
        <v>26</v>
      </c>
    </row>
    <row r="25">
      <c r="A25" s="7" t="s">
        <v>74</v>
      </c>
      <c r="B25" s="7">
        <v>0.09055</v>
      </c>
      <c r="C25" s="7">
        <v>100.0</v>
      </c>
      <c r="D25" s="7" t="s">
        <v>15</v>
      </c>
      <c r="E25" s="7" t="s">
        <v>74</v>
      </c>
      <c r="F25" s="7">
        <v>1.60943</v>
      </c>
      <c r="G25" s="7">
        <v>100.0</v>
      </c>
      <c r="H25" s="7" t="s">
        <v>15</v>
      </c>
      <c r="I25" s="7" t="s">
        <v>74</v>
      </c>
      <c r="J25" s="7">
        <v>2.13378</v>
      </c>
      <c r="K25" s="7">
        <v>100.0</v>
      </c>
      <c r="L25" s="7" t="s">
        <v>15</v>
      </c>
      <c r="M25" s="7" t="s">
        <v>74</v>
      </c>
      <c r="O25" s="7">
        <v>100.0</v>
      </c>
      <c r="P25" s="7" t="s">
        <v>15</v>
      </c>
      <c r="Q25" s="7" t="s">
        <v>74</v>
      </c>
      <c r="S25" s="7">
        <v>100.0</v>
      </c>
      <c r="T25" s="7" t="s">
        <v>15</v>
      </c>
    </row>
    <row r="26">
      <c r="A26" s="7" t="s">
        <v>75</v>
      </c>
      <c r="B26" s="7">
        <v>0.06745</v>
      </c>
      <c r="C26" s="7">
        <v>100.0</v>
      </c>
      <c r="D26" s="7" t="s">
        <v>15</v>
      </c>
      <c r="E26" s="7" t="s">
        <v>75</v>
      </c>
      <c r="F26" s="7">
        <v>1.95064</v>
      </c>
      <c r="G26" s="7">
        <v>100.0</v>
      </c>
      <c r="H26" s="7" t="s">
        <v>15</v>
      </c>
      <c r="I26" s="7" t="s">
        <v>75</v>
      </c>
      <c r="J26" s="7">
        <v>2.24686</v>
      </c>
      <c r="K26" s="7">
        <v>100.0</v>
      </c>
      <c r="L26" s="7" t="s">
        <v>15</v>
      </c>
      <c r="M26" s="7" t="s">
        <v>75</v>
      </c>
      <c r="O26" s="7">
        <v>100.0</v>
      </c>
      <c r="P26" s="7" t="s">
        <v>15</v>
      </c>
      <c r="Q26" s="7" t="s">
        <v>75</v>
      </c>
      <c r="S26" s="7">
        <v>100.0</v>
      </c>
      <c r="T26" s="7" t="s">
        <v>15</v>
      </c>
    </row>
    <row r="27">
      <c r="A27" s="7" t="s">
        <v>76</v>
      </c>
      <c r="B27" s="7">
        <v>0.07053</v>
      </c>
      <c r="C27" s="7">
        <v>100.0</v>
      </c>
      <c r="D27" s="7" t="s">
        <v>15</v>
      </c>
      <c r="E27" s="7" t="s">
        <v>76</v>
      </c>
      <c r="F27" s="7">
        <v>1.73292</v>
      </c>
      <c r="G27" s="7">
        <v>100.0</v>
      </c>
      <c r="H27" s="7" t="s">
        <v>15</v>
      </c>
      <c r="I27" s="7" t="s">
        <v>76</v>
      </c>
      <c r="J27" s="7">
        <v>2.04782</v>
      </c>
      <c r="K27" s="7">
        <v>100.0</v>
      </c>
      <c r="L27" s="7" t="s">
        <v>15</v>
      </c>
      <c r="M27" s="7" t="s">
        <v>76</v>
      </c>
      <c r="O27" s="7">
        <v>100.0</v>
      </c>
      <c r="P27" s="7" t="s">
        <v>15</v>
      </c>
      <c r="Q27" s="7" t="s">
        <v>76</v>
      </c>
      <c r="S27" s="7">
        <v>100.0</v>
      </c>
      <c r="T27" s="7" t="s">
        <v>15</v>
      </c>
    </row>
    <row r="28">
      <c r="A28" s="7" t="s">
        <v>77</v>
      </c>
      <c r="B28" s="7">
        <v>0.05661</v>
      </c>
      <c r="C28" s="7">
        <v>41.67</v>
      </c>
      <c r="D28" s="7" t="s">
        <v>26</v>
      </c>
      <c r="E28" s="7" t="s">
        <v>77</v>
      </c>
      <c r="F28" s="7">
        <v>1.66204</v>
      </c>
      <c r="G28" s="7">
        <v>41.67</v>
      </c>
      <c r="H28" s="7" t="s">
        <v>26</v>
      </c>
      <c r="I28" s="7" t="s">
        <v>77</v>
      </c>
      <c r="J28" s="7">
        <v>5.70547</v>
      </c>
      <c r="K28" s="7">
        <v>41.67</v>
      </c>
      <c r="L28" s="7" t="s">
        <v>26</v>
      </c>
      <c r="M28" s="7" t="s">
        <v>77</v>
      </c>
      <c r="O28" s="7">
        <v>41.67</v>
      </c>
      <c r="P28" s="7" t="s">
        <v>26</v>
      </c>
      <c r="Q28" s="7" t="s">
        <v>77</v>
      </c>
      <c r="S28" s="7">
        <v>41.67</v>
      </c>
      <c r="T28" s="7" t="s">
        <v>26</v>
      </c>
    </row>
    <row r="29">
      <c r="A29" s="7" t="s">
        <v>78</v>
      </c>
      <c r="B29" s="7">
        <v>0.31209</v>
      </c>
      <c r="C29" s="7">
        <v>54.17</v>
      </c>
      <c r="D29" s="7" t="s">
        <v>26</v>
      </c>
      <c r="E29" s="7" t="s">
        <v>79</v>
      </c>
      <c r="F29" s="7">
        <v>1.99679</v>
      </c>
      <c r="G29" s="7">
        <v>55.32</v>
      </c>
      <c r="H29" s="7" t="s">
        <v>26</v>
      </c>
      <c r="I29" s="7" t="s">
        <v>79</v>
      </c>
      <c r="J29" s="7">
        <v>1.70159</v>
      </c>
      <c r="K29" s="7">
        <v>55.32</v>
      </c>
      <c r="L29" s="7" t="s">
        <v>26</v>
      </c>
      <c r="M29" s="7" t="s">
        <v>79</v>
      </c>
      <c r="O29" s="7">
        <v>55.32</v>
      </c>
      <c r="P29" s="7" t="s">
        <v>26</v>
      </c>
      <c r="Q29" s="7" t="s">
        <v>80</v>
      </c>
      <c r="S29" s="7">
        <v>59.57</v>
      </c>
      <c r="T29" s="7" t="s">
        <v>26</v>
      </c>
    </row>
    <row r="30">
      <c r="A30" s="7" t="s">
        <v>81</v>
      </c>
      <c r="B30" s="7">
        <v>0.27672</v>
      </c>
      <c r="C30" s="7">
        <v>59.09</v>
      </c>
      <c r="D30" s="7" t="s">
        <v>26</v>
      </c>
      <c r="E30" s="7" t="s">
        <v>82</v>
      </c>
      <c r="F30" s="7">
        <v>1.68068</v>
      </c>
      <c r="G30" s="7">
        <v>60.47</v>
      </c>
      <c r="H30" s="7" t="s">
        <v>26</v>
      </c>
      <c r="I30" s="7" t="s">
        <v>82</v>
      </c>
      <c r="J30" s="7">
        <v>1.81485</v>
      </c>
      <c r="K30" s="7">
        <v>60.47</v>
      </c>
      <c r="L30" s="7" t="s">
        <v>26</v>
      </c>
      <c r="M30" s="7" t="s">
        <v>82</v>
      </c>
      <c r="O30" s="7">
        <v>60.47</v>
      </c>
      <c r="P30" s="7" t="s">
        <v>26</v>
      </c>
      <c r="Q30" s="7" t="s">
        <v>83</v>
      </c>
      <c r="S30" s="7">
        <v>65.12</v>
      </c>
      <c r="T30" s="7" t="s">
        <v>26</v>
      </c>
    </row>
    <row r="31">
      <c r="A31" s="7" t="s">
        <v>84</v>
      </c>
      <c r="B31" s="7">
        <v>0.12695</v>
      </c>
      <c r="C31" s="7">
        <v>71.79</v>
      </c>
      <c r="D31" s="7" t="s">
        <v>26</v>
      </c>
      <c r="E31" s="7" t="s">
        <v>85</v>
      </c>
      <c r="F31" s="7">
        <v>1.82703</v>
      </c>
      <c r="G31" s="7">
        <v>71.79</v>
      </c>
      <c r="H31" s="7" t="s">
        <v>26</v>
      </c>
      <c r="I31" s="7" t="s">
        <v>85</v>
      </c>
      <c r="J31" s="7">
        <v>1.66943</v>
      </c>
      <c r="K31" s="7">
        <v>71.79</v>
      </c>
      <c r="L31" s="7" t="s">
        <v>26</v>
      </c>
      <c r="M31" s="7" t="s">
        <v>85</v>
      </c>
      <c r="O31" s="7">
        <v>71.79</v>
      </c>
      <c r="P31" s="7" t="s">
        <v>26</v>
      </c>
      <c r="Q31" s="7" t="s">
        <v>85</v>
      </c>
      <c r="S31" s="7">
        <v>71.79</v>
      </c>
      <c r="T31" s="7" t="s">
        <v>26</v>
      </c>
    </row>
    <row r="32">
      <c r="A32" s="7" t="s">
        <v>86</v>
      </c>
      <c r="B32" s="7">
        <v>0.22104</v>
      </c>
      <c r="C32" s="7">
        <v>100.0</v>
      </c>
      <c r="D32" s="7" t="s">
        <v>15</v>
      </c>
      <c r="E32" s="7" t="s">
        <v>87</v>
      </c>
      <c r="F32" s="7">
        <v>1.75828</v>
      </c>
      <c r="G32" s="7">
        <v>100.0</v>
      </c>
      <c r="H32" s="7" t="s">
        <v>15</v>
      </c>
      <c r="I32" s="7" t="s">
        <v>87</v>
      </c>
      <c r="J32" s="7">
        <v>1.72035</v>
      </c>
      <c r="K32" s="7">
        <v>100.0</v>
      </c>
      <c r="L32" s="7" t="s">
        <v>15</v>
      </c>
      <c r="M32" s="7" t="s">
        <v>87</v>
      </c>
      <c r="O32" s="7">
        <v>100.0</v>
      </c>
      <c r="P32" s="7" t="s">
        <v>15</v>
      </c>
      <c r="Q32" s="7" t="s">
        <v>87</v>
      </c>
      <c r="S32" s="7">
        <v>100.0</v>
      </c>
      <c r="T32" s="7" t="s">
        <v>15</v>
      </c>
    </row>
    <row r="33">
      <c r="A33" s="7" t="s">
        <v>88</v>
      </c>
      <c r="B33" s="7">
        <v>0.0773</v>
      </c>
      <c r="C33" s="7">
        <v>100.0</v>
      </c>
      <c r="D33" s="7" t="s">
        <v>15</v>
      </c>
      <c r="E33" s="7" t="s">
        <v>89</v>
      </c>
      <c r="F33" s="7">
        <v>2.26031</v>
      </c>
      <c r="G33" s="7">
        <v>100.0</v>
      </c>
      <c r="H33" s="7" t="s">
        <v>15</v>
      </c>
      <c r="I33" s="7" t="s">
        <v>89</v>
      </c>
      <c r="J33" s="7">
        <v>1.83953</v>
      </c>
      <c r="K33" s="7">
        <v>100.0</v>
      </c>
      <c r="L33" s="7" t="s">
        <v>15</v>
      </c>
      <c r="M33" s="7" t="s">
        <v>89</v>
      </c>
      <c r="O33" s="7">
        <v>100.0</v>
      </c>
      <c r="P33" s="7" t="s">
        <v>15</v>
      </c>
      <c r="Q33" s="7" t="s">
        <v>89</v>
      </c>
      <c r="S33" s="7">
        <v>100.0</v>
      </c>
      <c r="T33" s="7" t="s">
        <v>15</v>
      </c>
    </row>
    <row r="34">
      <c r="A34" s="7" t="s">
        <v>90</v>
      </c>
      <c r="B34" s="7">
        <v>0.21041</v>
      </c>
      <c r="C34" s="7">
        <v>100.0</v>
      </c>
      <c r="D34" s="7" t="s">
        <v>15</v>
      </c>
      <c r="E34" s="7" t="s">
        <v>91</v>
      </c>
      <c r="F34" s="7">
        <v>1.71043</v>
      </c>
      <c r="G34" s="7">
        <v>100.0</v>
      </c>
      <c r="H34" s="7" t="s">
        <v>15</v>
      </c>
      <c r="I34" s="7" t="s">
        <v>91</v>
      </c>
      <c r="J34" s="7">
        <v>1.79005</v>
      </c>
      <c r="K34" s="7">
        <v>100.0</v>
      </c>
      <c r="L34" s="7" t="s">
        <v>15</v>
      </c>
      <c r="M34" s="7" t="s">
        <v>91</v>
      </c>
      <c r="O34" s="7">
        <v>100.0</v>
      </c>
      <c r="P34" s="7" t="s">
        <v>15</v>
      </c>
      <c r="Q34" s="7" t="s">
        <v>91</v>
      </c>
      <c r="S34" s="7">
        <v>100.0</v>
      </c>
      <c r="T34" s="7" t="s">
        <v>15</v>
      </c>
    </row>
    <row r="35">
      <c r="A35" s="7" t="s">
        <v>92</v>
      </c>
      <c r="B35" s="7">
        <v>0.07689</v>
      </c>
      <c r="C35" s="7">
        <v>100.0</v>
      </c>
      <c r="D35" s="7" t="s">
        <v>15</v>
      </c>
      <c r="E35" s="7" t="s">
        <v>93</v>
      </c>
      <c r="F35" s="7">
        <v>1.61605</v>
      </c>
      <c r="G35" s="7">
        <v>100.0</v>
      </c>
      <c r="H35" s="7" t="s">
        <v>15</v>
      </c>
      <c r="I35" s="7" t="s">
        <v>93</v>
      </c>
      <c r="J35" s="7">
        <v>1.96323</v>
      </c>
      <c r="K35" s="7">
        <v>100.0</v>
      </c>
      <c r="L35" s="7" t="s">
        <v>15</v>
      </c>
      <c r="M35" s="7" t="s">
        <v>93</v>
      </c>
      <c r="O35" s="7">
        <v>100.0</v>
      </c>
      <c r="P35" s="7" t="s">
        <v>15</v>
      </c>
      <c r="Q35" s="7" t="s">
        <v>93</v>
      </c>
      <c r="S35" s="7">
        <v>100.0</v>
      </c>
      <c r="T35" s="7" t="s">
        <v>15</v>
      </c>
    </row>
    <row r="36">
      <c r="A36" s="7" t="s">
        <v>94</v>
      </c>
      <c r="B36" s="7">
        <v>0.36169</v>
      </c>
      <c r="C36" s="7">
        <v>100.0</v>
      </c>
      <c r="D36" s="7" t="s">
        <v>15</v>
      </c>
      <c r="E36" s="7" t="s">
        <v>95</v>
      </c>
      <c r="F36" s="7">
        <v>1.60017</v>
      </c>
      <c r="G36" s="7">
        <v>100.0</v>
      </c>
      <c r="H36" s="7" t="s">
        <v>15</v>
      </c>
      <c r="I36" s="7" t="s">
        <v>95</v>
      </c>
      <c r="J36" s="7">
        <v>1.7274</v>
      </c>
      <c r="K36" s="7">
        <v>100.0</v>
      </c>
      <c r="L36" s="7" t="s">
        <v>15</v>
      </c>
      <c r="M36" s="7" t="s">
        <v>95</v>
      </c>
      <c r="O36" s="7">
        <v>100.0</v>
      </c>
      <c r="P36" s="7" t="s">
        <v>15</v>
      </c>
      <c r="Q36" s="7" t="s">
        <v>95</v>
      </c>
      <c r="S36" s="7">
        <v>100.0</v>
      </c>
      <c r="T36" s="7" t="s">
        <v>15</v>
      </c>
    </row>
    <row r="37">
      <c r="A37" s="7" t="s">
        <v>96</v>
      </c>
      <c r="B37" s="7">
        <v>0.1436</v>
      </c>
      <c r="C37" s="7">
        <v>100.0</v>
      </c>
      <c r="D37" s="7" t="s">
        <v>15</v>
      </c>
      <c r="E37" s="7" t="s">
        <v>97</v>
      </c>
      <c r="F37" s="7">
        <v>2.07418</v>
      </c>
      <c r="G37" s="7">
        <v>100.0</v>
      </c>
      <c r="H37" s="7" t="s">
        <v>15</v>
      </c>
      <c r="I37" s="7" t="s">
        <v>97</v>
      </c>
      <c r="J37" s="7">
        <v>1.75048</v>
      </c>
      <c r="K37" s="7">
        <v>100.0</v>
      </c>
      <c r="L37" s="7" t="s">
        <v>15</v>
      </c>
      <c r="M37" s="7" t="s">
        <v>97</v>
      </c>
      <c r="O37" s="7">
        <v>100.0</v>
      </c>
      <c r="P37" s="7" t="s">
        <v>15</v>
      </c>
      <c r="Q37" s="7" t="s">
        <v>97</v>
      </c>
      <c r="S37" s="7">
        <v>100.0</v>
      </c>
      <c r="T37" s="7" t="s">
        <v>15</v>
      </c>
    </row>
    <row r="38">
      <c r="A38" s="7" t="s">
        <v>98</v>
      </c>
      <c r="B38" s="7">
        <v>0.26794</v>
      </c>
      <c r="C38" s="7">
        <v>47.37</v>
      </c>
      <c r="D38" s="7" t="s">
        <v>99</v>
      </c>
      <c r="E38" s="7" t="s">
        <v>100</v>
      </c>
      <c r="F38" s="7">
        <v>1.79262</v>
      </c>
      <c r="G38" s="7">
        <v>100.0</v>
      </c>
      <c r="H38" s="7" t="s">
        <v>15</v>
      </c>
      <c r="I38" s="7" t="s">
        <v>100</v>
      </c>
      <c r="J38" s="7">
        <v>1.67464</v>
      </c>
      <c r="K38" s="7">
        <v>100.0</v>
      </c>
      <c r="L38" s="7" t="s">
        <v>15</v>
      </c>
      <c r="M38" s="7" t="s">
        <v>100</v>
      </c>
      <c r="O38" s="7">
        <v>100.0</v>
      </c>
      <c r="P38" s="7" t="s">
        <v>15</v>
      </c>
      <c r="Q38" s="7" t="s">
        <v>100</v>
      </c>
      <c r="S38" s="7">
        <v>100.0</v>
      </c>
      <c r="T38" s="7" t="s">
        <v>15</v>
      </c>
    </row>
    <row r="39">
      <c r="A39" s="7" t="s">
        <v>101</v>
      </c>
      <c r="B39" s="7">
        <v>0.71802</v>
      </c>
      <c r="C39" s="7">
        <v>100.0</v>
      </c>
      <c r="D39" s="7" t="s">
        <v>15</v>
      </c>
      <c r="E39" s="7" t="s">
        <v>102</v>
      </c>
      <c r="F39" s="7">
        <v>1.70003</v>
      </c>
      <c r="G39" s="7">
        <v>100.0</v>
      </c>
      <c r="H39" s="7" t="s">
        <v>15</v>
      </c>
      <c r="I39" s="7" t="s">
        <v>102</v>
      </c>
      <c r="J39" s="7">
        <v>1.88175</v>
      </c>
      <c r="K39" s="7">
        <v>100.0</v>
      </c>
      <c r="L39" s="7" t="s">
        <v>15</v>
      </c>
      <c r="M39" s="7" t="s">
        <v>102</v>
      </c>
      <c r="O39" s="7">
        <v>100.0</v>
      </c>
      <c r="P39" s="7" t="s">
        <v>15</v>
      </c>
      <c r="Q39" s="7" t="s">
        <v>102</v>
      </c>
      <c r="S39" s="7">
        <v>100.0</v>
      </c>
      <c r="T39" s="7" t="s">
        <v>15</v>
      </c>
    </row>
    <row r="40">
      <c r="A40" s="7" t="s">
        <v>103</v>
      </c>
      <c r="B40" s="7">
        <v>0.07058</v>
      </c>
      <c r="C40" s="7">
        <v>100.0</v>
      </c>
      <c r="D40" s="7" t="s">
        <v>15</v>
      </c>
      <c r="E40" s="7" t="s">
        <v>104</v>
      </c>
      <c r="F40" s="7">
        <v>1.64744</v>
      </c>
      <c r="G40" s="7">
        <v>100.0</v>
      </c>
      <c r="H40" s="7" t="s">
        <v>15</v>
      </c>
      <c r="I40" s="7" t="s">
        <v>104</v>
      </c>
      <c r="J40" s="7">
        <v>1.75967</v>
      </c>
      <c r="K40" s="7">
        <v>100.0</v>
      </c>
      <c r="L40" s="7" t="s">
        <v>15</v>
      </c>
      <c r="M40" s="7" t="s">
        <v>104</v>
      </c>
      <c r="O40" s="7">
        <v>100.0</v>
      </c>
      <c r="P40" s="7" t="s">
        <v>15</v>
      </c>
      <c r="Q40" s="7" t="s">
        <v>104</v>
      </c>
      <c r="S40" s="7">
        <v>100.0</v>
      </c>
      <c r="T40" s="7" t="s">
        <v>15</v>
      </c>
    </row>
    <row r="41">
      <c r="A41" s="7" t="s">
        <v>105</v>
      </c>
      <c r="B41" s="7">
        <v>0.05222</v>
      </c>
      <c r="C41" s="7">
        <v>100.0</v>
      </c>
      <c r="D41" s="7" t="s">
        <v>15</v>
      </c>
      <c r="E41" s="7" t="s">
        <v>106</v>
      </c>
      <c r="F41" s="7">
        <v>1.85644</v>
      </c>
      <c r="G41" s="7">
        <v>100.0</v>
      </c>
      <c r="H41" s="7" t="s">
        <v>15</v>
      </c>
      <c r="I41" s="7" t="s">
        <v>106</v>
      </c>
      <c r="J41" s="7">
        <v>1.9709</v>
      </c>
      <c r="K41" s="7">
        <v>100.0</v>
      </c>
      <c r="L41" s="7" t="s">
        <v>15</v>
      </c>
      <c r="M41" s="7" t="s">
        <v>106</v>
      </c>
      <c r="O41" s="7">
        <v>100.0</v>
      </c>
      <c r="P41" s="7" t="s">
        <v>15</v>
      </c>
      <c r="Q41" s="7" t="s">
        <v>106</v>
      </c>
      <c r="S41" s="7">
        <v>100.0</v>
      </c>
      <c r="T41" s="7" t="s">
        <v>15</v>
      </c>
    </row>
    <row r="42">
      <c r="A42" s="7" t="s">
        <v>107</v>
      </c>
      <c r="B42" s="7">
        <v>0.07293</v>
      </c>
      <c r="C42" s="7">
        <v>100.0</v>
      </c>
      <c r="D42" s="7" t="s">
        <v>15</v>
      </c>
      <c r="E42" s="7" t="s">
        <v>108</v>
      </c>
      <c r="F42" s="7">
        <v>1.67181</v>
      </c>
      <c r="G42" s="7">
        <v>100.0</v>
      </c>
      <c r="H42" s="7" t="s">
        <v>15</v>
      </c>
      <c r="I42" s="7" t="s">
        <v>108</v>
      </c>
      <c r="J42" s="7">
        <v>1.97765</v>
      </c>
      <c r="K42" s="7">
        <v>100.0</v>
      </c>
      <c r="L42" s="7" t="s">
        <v>15</v>
      </c>
      <c r="M42" s="7" t="s">
        <v>108</v>
      </c>
      <c r="O42" s="7">
        <v>100.0</v>
      </c>
      <c r="P42" s="7" t="s">
        <v>15</v>
      </c>
      <c r="Q42" s="7" t="s">
        <v>108</v>
      </c>
      <c r="S42" s="7">
        <v>100.0</v>
      </c>
      <c r="T42" s="7" t="s">
        <v>15</v>
      </c>
    </row>
    <row r="43">
      <c r="A43" s="7" t="s">
        <v>109</v>
      </c>
      <c r="B43" s="7">
        <v>0.05452</v>
      </c>
      <c r="C43" s="7">
        <v>80.0</v>
      </c>
      <c r="D43" s="7" t="s">
        <v>26</v>
      </c>
      <c r="E43" s="7" t="s">
        <v>110</v>
      </c>
      <c r="F43" s="7">
        <v>1.99234</v>
      </c>
      <c r="G43" s="7">
        <v>100.0</v>
      </c>
      <c r="H43" s="7" t="s">
        <v>15</v>
      </c>
      <c r="I43" s="7" t="s">
        <v>110</v>
      </c>
      <c r="J43" s="7">
        <v>1.98226</v>
      </c>
      <c r="K43" s="7">
        <v>100.0</v>
      </c>
      <c r="L43" s="7" t="s">
        <v>15</v>
      </c>
      <c r="M43" s="7" t="s">
        <v>110</v>
      </c>
      <c r="O43" s="7">
        <v>100.0</v>
      </c>
      <c r="P43" s="7" t="s">
        <v>15</v>
      </c>
      <c r="Q43" s="7" t="s">
        <v>110</v>
      </c>
      <c r="S43" s="7">
        <v>100.0</v>
      </c>
      <c r="T43" s="7" t="s">
        <v>15</v>
      </c>
    </row>
    <row r="44">
      <c r="A44" s="7" t="s">
        <v>111</v>
      </c>
      <c r="B44" s="7">
        <v>0.07693</v>
      </c>
      <c r="C44" s="7">
        <v>83.87</v>
      </c>
      <c r="D44" s="7" t="s">
        <v>26</v>
      </c>
      <c r="E44" s="7" t="s">
        <v>112</v>
      </c>
      <c r="F44" s="7">
        <v>2.06746</v>
      </c>
      <c r="G44" s="7">
        <v>72.22</v>
      </c>
      <c r="H44" s="7" t="s">
        <v>26</v>
      </c>
      <c r="I44" s="7" t="s">
        <v>112</v>
      </c>
      <c r="J44" s="7">
        <v>2.18353</v>
      </c>
      <c r="K44" s="7">
        <v>72.22</v>
      </c>
      <c r="L44" s="7" t="s">
        <v>26</v>
      </c>
      <c r="M44" s="7" t="s">
        <v>112</v>
      </c>
      <c r="O44" s="7">
        <v>72.22</v>
      </c>
      <c r="P44" s="7" t="s">
        <v>26</v>
      </c>
      <c r="Q44" s="7" t="s">
        <v>112</v>
      </c>
      <c r="S44" s="7">
        <v>72.22</v>
      </c>
      <c r="T44" s="7" t="s">
        <v>26</v>
      </c>
    </row>
    <row r="45">
      <c r="A45" s="7" t="s">
        <v>113</v>
      </c>
      <c r="B45" s="7">
        <v>0.17988</v>
      </c>
      <c r="C45" s="7">
        <v>82.76</v>
      </c>
      <c r="D45" s="7" t="s">
        <v>26</v>
      </c>
      <c r="E45" s="7" t="s">
        <v>114</v>
      </c>
      <c r="F45" s="7">
        <v>1.91494</v>
      </c>
      <c r="G45" s="7">
        <v>100.0</v>
      </c>
      <c r="H45" s="7" t="s">
        <v>15</v>
      </c>
      <c r="I45" s="7" t="s">
        <v>115</v>
      </c>
      <c r="J45" s="7">
        <v>1.92135</v>
      </c>
      <c r="K45" s="7">
        <v>76.47</v>
      </c>
      <c r="L45" s="7" t="s">
        <v>26</v>
      </c>
      <c r="M45" s="7" t="s">
        <v>116</v>
      </c>
      <c r="O45" s="7">
        <v>76.47</v>
      </c>
      <c r="P45" s="7" t="s">
        <v>26</v>
      </c>
      <c r="Q45" s="7" t="s">
        <v>116</v>
      </c>
      <c r="S45" s="7">
        <v>76.47</v>
      </c>
      <c r="T45" s="7" t="s">
        <v>26</v>
      </c>
    </row>
    <row r="46">
      <c r="A46" s="7" t="s">
        <v>117</v>
      </c>
      <c r="B46" s="7">
        <v>0.12711</v>
      </c>
      <c r="C46" s="7">
        <v>86.67</v>
      </c>
      <c r="D46" s="7" t="s">
        <v>26</v>
      </c>
      <c r="E46" s="7" t="s">
        <v>118</v>
      </c>
      <c r="F46" s="7">
        <v>1.96077</v>
      </c>
      <c r="G46" s="7">
        <v>76.47</v>
      </c>
      <c r="H46" s="7" t="s">
        <v>26</v>
      </c>
      <c r="I46" s="7" t="s">
        <v>118</v>
      </c>
      <c r="J46" s="7">
        <v>1.66154</v>
      </c>
      <c r="K46" s="7">
        <v>76.47</v>
      </c>
      <c r="L46" s="7" t="s">
        <v>26</v>
      </c>
      <c r="M46" s="7" t="s">
        <v>118</v>
      </c>
      <c r="O46" s="7">
        <v>76.47</v>
      </c>
      <c r="P46" s="7" t="s">
        <v>26</v>
      </c>
      <c r="Q46" s="7" t="s">
        <v>118</v>
      </c>
      <c r="S46" s="7">
        <v>76.47</v>
      </c>
      <c r="T46" s="7" t="s">
        <v>26</v>
      </c>
    </row>
    <row r="47">
      <c r="A47" s="7" t="s">
        <v>119</v>
      </c>
      <c r="B47" s="7">
        <v>0.11202</v>
      </c>
      <c r="C47" s="7">
        <v>100.0</v>
      </c>
      <c r="D47" s="7" t="s">
        <v>15</v>
      </c>
      <c r="E47" s="7" t="s">
        <v>119</v>
      </c>
      <c r="F47" s="7">
        <v>1.96251</v>
      </c>
      <c r="G47" s="7">
        <v>100.0</v>
      </c>
      <c r="H47" s="7" t="s">
        <v>15</v>
      </c>
      <c r="I47" s="7" t="s">
        <v>119</v>
      </c>
      <c r="J47" s="7">
        <v>1.75468</v>
      </c>
      <c r="K47" s="7">
        <v>100.0</v>
      </c>
      <c r="L47" s="7" t="s">
        <v>15</v>
      </c>
      <c r="M47" s="7" t="s">
        <v>119</v>
      </c>
      <c r="O47" s="7">
        <v>100.0</v>
      </c>
      <c r="P47" s="7" t="s">
        <v>15</v>
      </c>
      <c r="Q47" s="7" t="s">
        <v>119</v>
      </c>
      <c r="S47" s="7">
        <v>100.0</v>
      </c>
      <c r="T47" s="7" t="s">
        <v>15</v>
      </c>
    </row>
    <row r="48">
      <c r="A48" s="7" t="s">
        <v>120</v>
      </c>
      <c r="B48" s="7">
        <v>0.06934</v>
      </c>
      <c r="C48" s="7">
        <v>76.0</v>
      </c>
      <c r="D48" s="7" t="s">
        <v>26</v>
      </c>
      <c r="E48" s="7" t="s">
        <v>121</v>
      </c>
      <c r="F48" s="7">
        <v>1.86784</v>
      </c>
      <c r="G48" s="7">
        <v>76.0</v>
      </c>
      <c r="H48" s="7" t="s">
        <v>26</v>
      </c>
      <c r="I48" s="7" t="s">
        <v>122</v>
      </c>
      <c r="J48" s="7">
        <v>2.13481</v>
      </c>
      <c r="K48" s="7">
        <v>100.0</v>
      </c>
      <c r="L48" s="7" t="s">
        <v>15</v>
      </c>
      <c r="M48" s="7" t="s">
        <v>122</v>
      </c>
      <c r="O48" s="7">
        <v>100.0</v>
      </c>
      <c r="P48" s="7" t="s">
        <v>15</v>
      </c>
      <c r="Q48" s="7" t="s">
        <v>122</v>
      </c>
      <c r="S48" s="7">
        <v>100.0</v>
      </c>
      <c r="T48" s="7" t="s">
        <v>15</v>
      </c>
    </row>
    <row r="49">
      <c r="A49" s="7" t="s">
        <v>123</v>
      </c>
      <c r="B49" s="7">
        <v>0.10754</v>
      </c>
      <c r="C49" s="7">
        <v>48.48</v>
      </c>
      <c r="D49" s="7" t="s">
        <v>26</v>
      </c>
      <c r="E49" s="7" t="s">
        <v>124</v>
      </c>
      <c r="F49" s="7">
        <v>1.8775</v>
      </c>
      <c r="G49" s="7">
        <v>61.11</v>
      </c>
      <c r="H49" s="7" t="s">
        <v>26</v>
      </c>
      <c r="I49" s="7" t="s">
        <v>125</v>
      </c>
      <c r="J49" s="7">
        <v>1.86184</v>
      </c>
      <c r="K49" s="7">
        <v>71.79</v>
      </c>
      <c r="L49" s="7" t="s">
        <v>26</v>
      </c>
      <c r="M49" s="7" t="s">
        <v>123</v>
      </c>
      <c r="O49" s="7">
        <v>48.48</v>
      </c>
      <c r="P49" s="7" t="s">
        <v>26</v>
      </c>
      <c r="Q49" s="7" t="s">
        <v>123</v>
      </c>
      <c r="S49" s="7">
        <v>48.48</v>
      </c>
      <c r="T49" s="7" t="s">
        <v>26</v>
      </c>
    </row>
    <row r="50">
      <c r="A50" s="7" t="s">
        <v>126</v>
      </c>
      <c r="B50" s="7">
        <v>0.05778</v>
      </c>
      <c r="C50" s="7">
        <v>61.54</v>
      </c>
      <c r="D50" s="7" t="s">
        <v>26</v>
      </c>
      <c r="E50" s="7" t="s">
        <v>127</v>
      </c>
      <c r="F50" s="7">
        <v>1.74764</v>
      </c>
      <c r="G50" s="7">
        <v>61.54</v>
      </c>
      <c r="H50" s="7" t="s">
        <v>26</v>
      </c>
      <c r="I50" s="7" t="s">
        <v>127</v>
      </c>
      <c r="J50" s="7">
        <v>1.81584</v>
      </c>
      <c r="K50" s="7">
        <v>61.54</v>
      </c>
      <c r="L50" s="7" t="s">
        <v>26</v>
      </c>
      <c r="M50" s="7" t="s">
        <v>128</v>
      </c>
      <c r="O50" s="7">
        <v>77.78</v>
      </c>
      <c r="P50" s="7" t="s">
        <v>26</v>
      </c>
      <c r="Q50" s="7" t="s">
        <v>128</v>
      </c>
      <c r="S50" s="7">
        <v>77.78</v>
      </c>
      <c r="T50" s="7" t="s">
        <v>26</v>
      </c>
    </row>
    <row r="51">
      <c r="A51" s="7" t="s">
        <v>129</v>
      </c>
      <c r="B51" s="7">
        <v>0.06331</v>
      </c>
      <c r="C51" s="7">
        <v>100.0</v>
      </c>
      <c r="D51" s="7" t="s">
        <v>15</v>
      </c>
      <c r="E51" s="7" t="s">
        <v>129</v>
      </c>
      <c r="F51" s="7">
        <v>1.81147</v>
      </c>
      <c r="G51" s="7">
        <v>100.0</v>
      </c>
      <c r="H51" s="7" t="s">
        <v>15</v>
      </c>
      <c r="I51" s="7" t="s">
        <v>129</v>
      </c>
      <c r="J51" s="7">
        <v>2.21105</v>
      </c>
      <c r="K51" s="7">
        <v>100.0</v>
      </c>
      <c r="L51" s="7" t="s">
        <v>15</v>
      </c>
      <c r="M51" s="7" t="s">
        <v>129</v>
      </c>
      <c r="O51" s="7">
        <v>100.0</v>
      </c>
      <c r="P51" s="7" t="s">
        <v>15</v>
      </c>
      <c r="Q51" s="7" t="s">
        <v>129</v>
      </c>
      <c r="S51" s="7">
        <v>100.0</v>
      </c>
      <c r="T51" s="7" t="s">
        <v>15</v>
      </c>
    </row>
    <row r="52">
      <c r="A52" s="7" t="s">
        <v>130</v>
      </c>
      <c r="B52" s="7">
        <v>0.05563</v>
      </c>
      <c r="C52" s="7">
        <v>100.0</v>
      </c>
      <c r="D52" s="7" t="s">
        <v>15</v>
      </c>
      <c r="E52" s="7" t="s">
        <v>130</v>
      </c>
      <c r="F52" s="7">
        <v>2.03091</v>
      </c>
      <c r="G52" s="7">
        <v>100.0</v>
      </c>
      <c r="H52" s="7" t="s">
        <v>15</v>
      </c>
      <c r="I52" s="7" t="s">
        <v>130</v>
      </c>
      <c r="J52" s="7">
        <v>2.153</v>
      </c>
      <c r="K52" s="7">
        <v>100.0</v>
      </c>
      <c r="L52" s="7" t="s">
        <v>15</v>
      </c>
      <c r="M52" s="7" t="s">
        <v>130</v>
      </c>
      <c r="O52" s="7">
        <v>100.0</v>
      </c>
      <c r="P52" s="7" t="s">
        <v>15</v>
      </c>
      <c r="Q52" s="7" t="s">
        <v>130</v>
      </c>
      <c r="S52" s="7">
        <v>100.0</v>
      </c>
      <c r="T52" s="7" t="s">
        <v>15</v>
      </c>
    </row>
    <row r="53">
      <c r="A53" s="7" t="s">
        <v>131</v>
      </c>
      <c r="B53" s="7">
        <v>0.03764</v>
      </c>
      <c r="C53" s="7">
        <v>100.0</v>
      </c>
      <c r="D53" s="7" t="s">
        <v>15</v>
      </c>
      <c r="E53" s="7" t="s">
        <v>131</v>
      </c>
      <c r="F53" s="7">
        <v>1.72752</v>
      </c>
      <c r="G53" s="7">
        <v>100.0</v>
      </c>
      <c r="H53" s="7" t="s">
        <v>15</v>
      </c>
      <c r="I53" s="7" t="s">
        <v>131</v>
      </c>
      <c r="J53" s="7">
        <v>1.9128</v>
      </c>
      <c r="K53" s="7">
        <v>100.0</v>
      </c>
      <c r="L53" s="7" t="s">
        <v>15</v>
      </c>
      <c r="M53" s="7" t="s">
        <v>131</v>
      </c>
      <c r="O53" s="7">
        <v>100.0</v>
      </c>
      <c r="P53" s="7" t="s">
        <v>15</v>
      </c>
      <c r="Q53" s="7" t="s">
        <v>131</v>
      </c>
      <c r="S53" s="7">
        <v>100.0</v>
      </c>
      <c r="T53" s="7" t="s">
        <v>15</v>
      </c>
    </row>
    <row r="54">
      <c r="A54" s="7" t="s">
        <v>132</v>
      </c>
      <c r="B54" s="7">
        <v>0.04079</v>
      </c>
      <c r="C54" s="7">
        <v>77.78</v>
      </c>
      <c r="D54" s="7" t="s">
        <v>26</v>
      </c>
      <c r="E54" s="7" t="s">
        <v>133</v>
      </c>
      <c r="F54" s="7">
        <v>1.78067</v>
      </c>
      <c r="G54" s="7">
        <v>92.68</v>
      </c>
      <c r="H54" s="7" t="s">
        <v>26</v>
      </c>
      <c r="I54" s="7" t="s">
        <v>133</v>
      </c>
      <c r="J54" s="7">
        <v>1.89566</v>
      </c>
      <c r="K54" s="7">
        <v>92.68</v>
      </c>
      <c r="L54" s="7" t="s">
        <v>26</v>
      </c>
      <c r="M54" s="7" t="s">
        <v>133</v>
      </c>
      <c r="O54" s="7">
        <v>92.68</v>
      </c>
      <c r="P54" s="7" t="s">
        <v>26</v>
      </c>
      <c r="Q54" s="7" t="s">
        <v>133</v>
      </c>
      <c r="S54" s="7">
        <v>92.68</v>
      </c>
      <c r="T54" s="7" t="s">
        <v>26</v>
      </c>
    </row>
    <row r="55">
      <c r="A55" s="7" t="s">
        <v>134</v>
      </c>
      <c r="B55" s="7">
        <v>0.04094</v>
      </c>
      <c r="C55" s="7">
        <v>93.33</v>
      </c>
      <c r="D55" s="7" t="s">
        <v>26</v>
      </c>
      <c r="E55" s="7" t="s">
        <v>135</v>
      </c>
      <c r="F55" s="7">
        <v>1.70869</v>
      </c>
      <c r="G55" s="7">
        <v>100.0</v>
      </c>
      <c r="H55" s="7" t="s">
        <v>15</v>
      </c>
      <c r="I55" s="7" t="s">
        <v>135</v>
      </c>
      <c r="J55" s="7">
        <v>2.16766</v>
      </c>
      <c r="K55" s="7">
        <v>100.0</v>
      </c>
      <c r="L55" s="7" t="s">
        <v>15</v>
      </c>
      <c r="M55" s="7" t="s">
        <v>135</v>
      </c>
      <c r="O55" s="7">
        <v>100.0</v>
      </c>
      <c r="P55" s="7" t="s">
        <v>15</v>
      </c>
      <c r="Q55" s="7" t="s">
        <v>135</v>
      </c>
      <c r="S55" s="7">
        <v>100.0</v>
      </c>
      <c r="T55" s="7" t="s">
        <v>15</v>
      </c>
    </row>
    <row r="56">
      <c r="A56" s="7" t="s">
        <v>136</v>
      </c>
      <c r="B56" s="7">
        <v>0.042</v>
      </c>
      <c r="C56" s="7">
        <v>100.0</v>
      </c>
      <c r="D56" s="7" t="s">
        <v>15</v>
      </c>
      <c r="E56" s="7" t="s">
        <v>136</v>
      </c>
      <c r="F56" s="7">
        <v>1.83693</v>
      </c>
      <c r="G56" s="7">
        <v>100.0</v>
      </c>
      <c r="H56" s="7" t="s">
        <v>15</v>
      </c>
      <c r="I56" s="7" t="s">
        <v>136</v>
      </c>
      <c r="J56" s="7">
        <v>1.80924</v>
      </c>
      <c r="K56" s="7">
        <v>100.0</v>
      </c>
      <c r="L56" s="7" t="s">
        <v>15</v>
      </c>
      <c r="M56" s="7" t="s">
        <v>136</v>
      </c>
      <c r="O56" s="7">
        <v>100.0</v>
      </c>
      <c r="P56" s="7" t="s">
        <v>15</v>
      </c>
      <c r="Q56" s="7" t="s">
        <v>136</v>
      </c>
      <c r="S56" s="7">
        <v>100.0</v>
      </c>
      <c r="T56" s="7" t="s">
        <v>15</v>
      </c>
    </row>
    <row r="57">
      <c r="A57" s="7" t="s">
        <v>137</v>
      </c>
      <c r="B57" s="7">
        <v>0.02891</v>
      </c>
      <c r="C57" s="7">
        <v>100.0</v>
      </c>
      <c r="D57" s="7" t="s">
        <v>15</v>
      </c>
      <c r="E57" s="7" t="s">
        <v>137</v>
      </c>
      <c r="F57" s="7">
        <v>1.86544</v>
      </c>
      <c r="G57" s="7">
        <v>100.0</v>
      </c>
      <c r="H57" s="7" t="s">
        <v>15</v>
      </c>
      <c r="I57" s="7" t="s">
        <v>137</v>
      </c>
      <c r="J57" s="7">
        <v>1.68065</v>
      </c>
      <c r="K57" s="7">
        <v>100.0</v>
      </c>
      <c r="L57" s="7" t="s">
        <v>15</v>
      </c>
      <c r="M57" s="7" t="s">
        <v>137</v>
      </c>
      <c r="O57" s="7">
        <v>100.0</v>
      </c>
      <c r="P57" s="7" t="s">
        <v>15</v>
      </c>
      <c r="Q57" s="7" t="s">
        <v>137</v>
      </c>
      <c r="S57" s="7">
        <v>100.0</v>
      </c>
      <c r="T57" s="7" t="s">
        <v>15</v>
      </c>
    </row>
    <row r="58">
      <c r="A58" s="7" t="s">
        <v>138</v>
      </c>
      <c r="B58" s="7">
        <v>0.06683</v>
      </c>
      <c r="C58" s="7">
        <v>95.24</v>
      </c>
      <c r="D58" s="7" t="s">
        <v>26</v>
      </c>
      <c r="E58" s="7" t="s">
        <v>139</v>
      </c>
      <c r="F58" s="7">
        <v>1.93484</v>
      </c>
      <c r="G58" s="7">
        <v>100.0</v>
      </c>
      <c r="H58" s="7" t="s">
        <v>15</v>
      </c>
      <c r="I58" s="7" t="s">
        <v>140</v>
      </c>
      <c r="J58" s="7">
        <v>3.33327</v>
      </c>
      <c r="K58" s="7">
        <v>100.0</v>
      </c>
      <c r="L58" s="7" t="s">
        <v>15</v>
      </c>
      <c r="M58" s="7" t="s">
        <v>139</v>
      </c>
      <c r="O58" s="7">
        <v>100.0</v>
      </c>
      <c r="P58" s="7" t="s">
        <v>15</v>
      </c>
      <c r="Q58" s="7" t="s">
        <v>139</v>
      </c>
      <c r="S58" s="7">
        <v>100.0</v>
      </c>
      <c r="T58" s="7" t="s">
        <v>15</v>
      </c>
    </row>
    <row r="59">
      <c r="A59" s="7" t="s">
        <v>141</v>
      </c>
      <c r="B59" s="7">
        <v>0.06363</v>
      </c>
      <c r="C59" s="7">
        <v>83.33</v>
      </c>
      <c r="D59" s="7" t="s">
        <v>26</v>
      </c>
      <c r="E59" s="7" t="s">
        <v>142</v>
      </c>
      <c r="F59" s="7">
        <v>1.98988</v>
      </c>
      <c r="G59" s="7">
        <v>88.89</v>
      </c>
      <c r="H59" s="7" t="s">
        <v>26</v>
      </c>
      <c r="I59" s="7" t="s">
        <v>142</v>
      </c>
      <c r="J59" s="7">
        <v>1.7774</v>
      </c>
      <c r="K59" s="7">
        <v>88.89</v>
      </c>
      <c r="L59" s="7" t="s">
        <v>26</v>
      </c>
      <c r="M59" s="7" t="s">
        <v>142</v>
      </c>
      <c r="O59" s="7">
        <v>88.89</v>
      </c>
      <c r="P59" s="7" t="s">
        <v>26</v>
      </c>
      <c r="Q59" s="7" t="s">
        <v>142</v>
      </c>
      <c r="S59" s="7">
        <v>88.89</v>
      </c>
      <c r="T59" s="7" t="s">
        <v>26</v>
      </c>
    </row>
    <row r="60">
      <c r="A60" s="7" t="s">
        <v>143</v>
      </c>
      <c r="B60" s="7">
        <v>0.0597</v>
      </c>
      <c r="C60" s="7">
        <v>81.36</v>
      </c>
      <c r="D60" s="7" t="s">
        <v>26</v>
      </c>
      <c r="E60" s="7" t="s">
        <v>144</v>
      </c>
      <c r="F60" s="7">
        <v>2.13527</v>
      </c>
      <c r="G60" s="7">
        <v>95.38</v>
      </c>
      <c r="H60" s="7" t="s">
        <v>26</v>
      </c>
      <c r="I60" s="7" t="s">
        <v>144</v>
      </c>
      <c r="J60" s="7">
        <v>1.83803</v>
      </c>
      <c r="K60" s="7">
        <v>95.38</v>
      </c>
      <c r="L60" s="7" t="s">
        <v>26</v>
      </c>
      <c r="M60" s="7" t="s">
        <v>144</v>
      </c>
      <c r="O60" s="7">
        <v>95.38</v>
      </c>
      <c r="P60" s="7" t="s">
        <v>26</v>
      </c>
      <c r="Q60" s="7" t="s">
        <v>144</v>
      </c>
      <c r="S60" s="7">
        <v>95.38</v>
      </c>
      <c r="T60" s="7" t="s">
        <v>26</v>
      </c>
    </row>
    <row r="61">
      <c r="A61" s="7" t="s">
        <v>143</v>
      </c>
      <c r="B61" s="7">
        <v>0.04891</v>
      </c>
      <c r="C61" s="7">
        <v>67.74</v>
      </c>
      <c r="D61" s="7" t="s">
        <v>26</v>
      </c>
      <c r="E61" s="7" t="s">
        <v>144</v>
      </c>
      <c r="F61" s="7">
        <v>1.76772</v>
      </c>
      <c r="G61" s="7">
        <v>82.35</v>
      </c>
      <c r="H61" s="7" t="s">
        <v>26</v>
      </c>
      <c r="I61" s="7" t="s">
        <v>144</v>
      </c>
      <c r="J61" s="7">
        <v>2.41076</v>
      </c>
      <c r="K61" s="7">
        <v>82.35</v>
      </c>
      <c r="L61" s="7" t="s">
        <v>26</v>
      </c>
      <c r="M61" s="7" t="s">
        <v>144</v>
      </c>
      <c r="O61" s="7">
        <v>82.35</v>
      </c>
      <c r="P61" s="7" t="s">
        <v>26</v>
      </c>
      <c r="Q61" s="7" t="s">
        <v>144</v>
      </c>
      <c r="S61" s="7">
        <v>82.35</v>
      </c>
      <c r="T61" s="7" t="s">
        <v>26</v>
      </c>
    </row>
    <row r="62">
      <c r="A62" s="7" t="s">
        <v>145</v>
      </c>
      <c r="B62" s="7">
        <v>0.06528</v>
      </c>
      <c r="C62" s="7">
        <v>100.0</v>
      </c>
      <c r="D62" s="7" t="s">
        <v>15</v>
      </c>
      <c r="E62" s="7" t="s">
        <v>146</v>
      </c>
      <c r="F62" s="7">
        <v>1.95852</v>
      </c>
      <c r="G62" s="7">
        <v>100.0</v>
      </c>
      <c r="H62" s="7" t="s">
        <v>15</v>
      </c>
      <c r="I62" s="7" t="s">
        <v>145</v>
      </c>
      <c r="J62" s="7">
        <v>2.80002</v>
      </c>
      <c r="K62" s="7">
        <v>100.0</v>
      </c>
      <c r="L62" s="7" t="s">
        <v>15</v>
      </c>
      <c r="M62" s="7" t="s">
        <v>146</v>
      </c>
      <c r="O62" s="7">
        <v>100.0</v>
      </c>
      <c r="P62" s="7" t="s">
        <v>15</v>
      </c>
      <c r="Q62" s="7" t="s">
        <v>146</v>
      </c>
      <c r="S62" s="7">
        <v>100.0</v>
      </c>
      <c r="T62" s="7" t="s">
        <v>15</v>
      </c>
    </row>
    <row r="63">
      <c r="A63" s="7" t="s">
        <v>147</v>
      </c>
      <c r="B63" s="7">
        <v>0.06027</v>
      </c>
      <c r="C63" s="7">
        <v>100.0</v>
      </c>
      <c r="D63" s="7" t="s">
        <v>15</v>
      </c>
      <c r="E63" s="7" t="s">
        <v>148</v>
      </c>
      <c r="F63" s="7">
        <v>2.91728</v>
      </c>
      <c r="G63" s="7">
        <v>100.0</v>
      </c>
      <c r="H63" s="7" t="s">
        <v>15</v>
      </c>
      <c r="I63" s="7" t="s">
        <v>147</v>
      </c>
      <c r="J63" s="7">
        <v>1.80505</v>
      </c>
      <c r="K63" s="7">
        <v>100.0</v>
      </c>
      <c r="L63" s="7" t="s">
        <v>15</v>
      </c>
      <c r="M63" s="7" t="s">
        <v>148</v>
      </c>
      <c r="O63" s="7">
        <v>100.0</v>
      </c>
      <c r="P63" s="7" t="s">
        <v>15</v>
      </c>
      <c r="Q63" s="7" t="s">
        <v>148</v>
      </c>
      <c r="S63" s="7">
        <v>100.0</v>
      </c>
      <c r="T63" s="7" t="s">
        <v>15</v>
      </c>
    </row>
    <row r="64">
      <c r="A64" s="7" t="s">
        <v>149</v>
      </c>
      <c r="B64" s="7">
        <v>0.05493</v>
      </c>
      <c r="C64" s="7">
        <v>100.0</v>
      </c>
      <c r="D64" s="7" t="s">
        <v>15</v>
      </c>
      <c r="E64" s="7" t="s">
        <v>150</v>
      </c>
      <c r="F64" s="7">
        <v>3.34037</v>
      </c>
      <c r="G64" s="7">
        <v>100.0</v>
      </c>
      <c r="H64" s="7" t="s">
        <v>15</v>
      </c>
      <c r="I64" s="7" t="s">
        <v>150</v>
      </c>
      <c r="J64" s="7">
        <v>1.92604</v>
      </c>
      <c r="K64" s="7">
        <v>100.0</v>
      </c>
      <c r="L64" s="7" t="s">
        <v>15</v>
      </c>
      <c r="M64" s="7" t="s">
        <v>150</v>
      </c>
      <c r="O64" s="7">
        <v>100.0</v>
      </c>
      <c r="P64" s="7" t="s">
        <v>15</v>
      </c>
      <c r="Q64" s="7" t="s">
        <v>150</v>
      </c>
      <c r="S64" s="7">
        <v>100.0</v>
      </c>
      <c r="T64" s="7" t="s">
        <v>15</v>
      </c>
    </row>
    <row r="65">
      <c r="A65" s="7" t="s">
        <v>151</v>
      </c>
      <c r="B65" s="7">
        <v>0.12071</v>
      </c>
      <c r="C65" s="7">
        <v>100.0</v>
      </c>
      <c r="D65" s="7" t="s">
        <v>15</v>
      </c>
      <c r="E65" s="7" t="s">
        <v>152</v>
      </c>
      <c r="F65" s="7">
        <v>1.88281</v>
      </c>
      <c r="G65" s="7">
        <v>100.0</v>
      </c>
      <c r="H65" s="7" t="s">
        <v>15</v>
      </c>
      <c r="I65" s="7" t="s">
        <v>151</v>
      </c>
      <c r="J65" s="7">
        <v>1.61636</v>
      </c>
      <c r="K65" s="7">
        <v>100.0</v>
      </c>
      <c r="L65" s="7" t="s">
        <v>15</v>
      </c>
      <c r="M65" s="7" t="s">
        <v>152</v>
      </c>
      <c r="O65" s="7">
        <v>100.0</v>
      </c>
      <c r="P65" s="7" t="s">
        <v>15</v>
      </c>
      <c r="Q65" s="7" t="s">
        <v>152</v>
      </c>
      <c r="S65" s="7">
        <v>100.0</v>
      </c>
      <c r="T65" s="7" t="s">
        <v>15</v>
      </c>
    </row>
    <row r="66">
      <c r="A66" s="7" t="s">
        <v>153</v>
      </c>
      <c r="B66" s="7">
        <v>0.05213</v>
      </c>
      <c r="C66" s="7">
        <v>100.0</v>
      </c>
      <c r="D66" s="7" t="s">
        <v>15</v>
      </c>
      <c r="E66" s="7" t="s">
        <v>153</v>
      </c>
      <c r="F66" s="7">
        <v>1.88945</v>
      </c>
      <c r="G66" s="7">
        <v>100.0</v>
      </c>
      <c r="H66" s="7" t="s">
        <v>15</v>
      </c>
      <c r="I66" s="7" t="s">
        <v>153</v>
      </c>
      <c r="J66" s="7">
        <v>1.69638</v>
      </c>
      <c r="K66" s="7">
        <v>100.0</v>
      </c>
      <c r="L66" s="7" t="s">
        <v>15</v>
      </c>
      <c r="M66" s="7" t="s">
        <v>153</v>
      </c>
      <c r="O66" s="7">
        <v>100.0</v>
      </c>
      <c r="P66" s="7" t="s">
        <v>15</v>
      </c>
      <c r="Q66" s="7" t="s">
        <v>153</v>
      </c>
      <c r="S66" s="7">
        <v>100.0</v>
      </c>
      <c r="T66" s="7" t="s">
        <v>15</v>
      </c>
    </row>
    <row r="67">
      <c r="A67" s="7" t="s">
        <v>154</v>
      </c>
      <c r="B67" s="7">
        <v>0.22448</v>
      </c>
      <c r="C67" s="7">
        <v>100.0</v>
      </c>
      <c r="D67" s="7" t="s">
        <v>15</v>
      </c>
      <c r="E67" s="7" t="s">
        <v>154</v>
      </c>
      <c r="F67" s="7">
        <v>1.80738</v>
      </c>
      <c r="G67" s="7">
        <v>100.0</v>
      </c>
      <c r="H67" s="7" t="s">
        <v>15</v>
      </c>
      <c r="I67" s="7" t="s">
        <v>154</v>
      </c>
      <c r="J67" s="7">
        <v>1.97998</v>
      </c>
      <c r="K67" s="7">
        <v>100.0</v>
      </c>
      <c r="L67" s="7" t="s">
        <v>15</v>
      </c>
      <c r="M67" s="7" t="s">
        <v>154</v>
      </c>
      <c r="O67" s="7">
        <v>100.0</v>
      </c>
      <c r="P67" s="7" t="s">
        <v>15</v>
      </c>
      <c r="Q67" s="7" t="s">
        <v>154</v>
      </c>
      <c r="S67" s="7">
        <v>100.0</v>
      </c>
      <c r="T67" s="7" t="s">
        <v>15</v>
      </c>
    </row>
    <row r="68">
      <c r="A68" s="7" t="s">
        <v>155</v>
      </c>
      <c r="B68" s="7">
        <v>0.13646</v>
      </c>
      <c r="C68" s="7">
        <v>100.0</v>
      </c>
      <c r="D68" s="7" t="s">
        <v>15</v>
      </c>
      <c r="E68" s="7" t="s">
        <v>155</v>
      </c>
      <c r="F68" s="7">
        <v>1.65305</v>
      </c>
      <c r="G68" s="7">
        <v>100.0</v>
      </c>
      <c r="H68" s="7" t="s">
        <v>15</v>
      </c>
      <c r="I68" s="7" t="s">
        <v>155</v>
      </c>
      <c r="J68" s="7">
        <v>1.75102</v>
      </c>
      <c r="K68" s="7">
        <v>100.0</v>
      </c>
      <c r="L68" s="7" t="s">
        <v>15</v>
      </c>
      <c r="M68" s="7" t="s">
        <v>155</v>
      </c>
      <c r="O68" s="7">
        <v>100.0</v>
      </c>
      <c r="P68" s="7" t="s">
        <v>15</v>
      </c>
      <c r="Q68" s="7" t="s">
        <v>155</v>
      </c>
      <c r="S68" s="7">
        <v>100.0</v>
      </c>
      <c r="T68" s="7" t="s">
        <v>15</v>
      </c>
    </row>
    <row r="69">
      <c r="A69" s="7" t="s">
        <v>156</v>
      </c>
      <c r="B69" s="7">
        <v>0.08567</v>
      </c>
      <c r="C69" s="7">
        <v>47.06</v>
      </c>
      <c r="D69" s="7" t="s">
        <v>26</v>
      </c>
      <c r="E69" s="7" t="s">
        <v>157</v>
      </c>
      <c r="F69" s="7">
        <v>1.57285</v>
      </c>
      <c r="G69" s="7">
        <v>100.0</v>
      </c>
      <c r="H69" s="7" t="s">
        <v>15</v>
      </c>
      <c r="I69" s="7" t="s">
        <v>158</v>
      </c>
      <c r="J69" s="7">
        <v>1.8859</v>
      </c>
      <c r="K69" s="7">
        <v>87.8</v>
      </c>
      <c r="L69" s="7" t="s">
        <v>26</v>
      </c>
      <c r="M69" s="7" t="s">
        <v>157</v>
      </c>
      <c r="O69" s="7">
        <v>100.0</v>
      </c>
      <c r="P69" s="7" t="s">
        <v>15</v>
      </c>
      <c r="Q69" s="7" t="s">
        <v>157</v>
      </c>
      <c r="S69" s="7">
        <v>100.0</v>
      </c>
      <c r="T69" s="7" t="s">
        <v>15</v>
      </c>
    </row>
    <row r="70">
      <c r="A70" s="7" t="s">
        <v>159</v>
      </c>
      <c r="B70" s="7">
        <v>0.07146</v>
      </c>
      <c r="C70" s="7">
        <v>80.0</v>
      </c>
      <c r="D70" s="7" t="s">
        <v>26</v>
      </c>
      <c r="E70" s="7" t="s">
        <v>160</v>
      </c>
      <c r="F70" s="7">
        <v>1.7572</v>
      </c>
      <c r="G70" s="7">
        <v>100.0</v>
      </c>
      <c r="H70" s="7" t="s">
        <v>15</v>
      </c>
      <c r="I70" s="7" t="s">
        <v>161</v>
      </c>
      <c r="J70" s="7">
        <v>2.00132</v>
      </c>
      <c r="K70" s="7">
        <v>100.0</v>
      </c>
      <c r="L70" s="7" t="s">
        <v>15</v>
      </c>
      <c r="M70" s="7" t="s">
        <v>160</v>
      </c>
      <c r="O70" s="7">
        <v>100.0</v>
      </c>
      <c r="P70" s="7" t="s">
        <v>15</v>
      </c>
      <c r="Q70" s="7" t="s">
        <v>160</v>
      </c>
      <c r="S70" s="7">
        <v>100.0</v>
      </c>
      <c r="T70" s="7" t="s">
        <v>15</v>
      </c>
    </row>
    <row r="71">
      <c r="A71" s="7" t="s">
        <v>162</v>
      </c>
      <c r="B71" s="7">
        <v>0.10199</v>
      </c>
      <c r="C71" s="7">
        <v>100.0</v>
      </c>
      <c r="D71" s="7" t="s">
        <v>15</v>
      </c>
      <c r="E71" s="7" t="s">
        <v>162</v>
      </c>
      <c r="F71" s="7">
        <v>1.84967</v>
      </c>
      <c r="G71" s="7">
        <v>100.0</v>
      </c>
      <c r="H71" s="7" t="s">
        <v>15</v>
      </c>
      <c r="I71" s="7" t="s">
        <v>162</v>
      </c>
      <c r="J71" s="7">
        <v>2.04385</v>
      </c>
      <c r="K71" s="7">
        <v>100.0</v>
      </c>
      <c r="L71" s="7" t="s">
        <v>15</v>
      </c>
      <c r="M71" s="7" t="s">
        <v>162</v>
      </c>
      <c r="O71" s="7">
        <v>100.0</v>
      </c>
      <c r="P71" s="7" t="s">
        <v>15</v>
      </c>
      <c r="Q71" s="7" t="s">
        <v>162</v>
      </c>
      <c r="S71" s="7">
        <v>100.0</v>
      </c>
      <c r="T71" s="7" t="s">
        <v>15</v>
      </c>
    </row>
    <row r="72">
      <c r="A72" s="7" t="s">
        <v>163</v>
      </c>
      <c r="B72" s="7">
        <v>0.18463</v>
      </c>
      <c r="C72" s="7">
        <v>89.66</v>
      </c>
      <c r="D72" s="7" t="s">
        <v>26</v>
      </c>
      <c r="E72" s="7" t="s">
        <v>164</v>
      </c>
      <c r="F72" s="7">
        <v>2.78096</v>
      </c>
      <c r="G72" s="7">
        <v>66.67</v>
      </c>
      <c r="H72" s="7" t="s">
        <v>26</v>
      </c>
      <c r="I72" s="7" t="s">
        <v>164</v>
      </c>
      <c r="J72" s="7">
        <v>1.77446</v>
      </c>
      <c r="K72" s="7">
        <v>66.67</v>
      </c>
      <c r="L72" s="7" t="s">
        <v>26</v>
      </c>
      <c r="M72" s="7" t="s">
        <v>164</v>
      </c>
      <c r="O72" s="7">
        <v>66.67</v>
      </c>
      <c r="P72" s="7" t="s">
        <v>26</v>
      </c>
      <c r="Q72" s="7" t="s">
        <v>164</v>
      </c>
      <c r="S72" s="7">
        <v>66.67</v>
      </c>
      <c r="T72" s="7" t="s">
        <v>26</v>
      </c>
    </row>
    <row r="73">
      <c r="A73" s="7" t="s">
        <v>165</v>
      </c>
      <c r="B73" s="7">
        <v>0.06818</v>
      </c>
      <c r="C73" s="7">
        <v>100.0</v>
      </c>
      <c r="D73" s="7" t="s">
        <v>15</v>
      </c>
      <c r="E73" s="7" t="s">
        <v>165</v>
      </c>
      <c r="F73" s="7">
        <v>1.81854</v>
      </c>
      <c r="G73" s="7">
        <v>100.0</v>
      </c>
      <c r="H73" s="7" t="s">
        <v>15</v>
      </c>
      <c r="I73" s="7" t="s">
        <v>165</v>
      </c>
      <c r="J73" s="7">
        <v>1.9673</v>
      </c>
      <c r="K73" s="7">
        <v>100.0</v>
      </c>
      <c r="L73" s="7" t="s">
        <v>15</v>
      </c>
      <c r="M73" s="7" t="s">
        <v>165</v>
      </c>
      <c r="O73" s="7">
        <v>100.0</v>
      </c>
      <c r="P73" s="7" t="s">
        <v>15</v>
      </c>
      <c r="Q73" s="7" t="s">
        <v>165</v>
      </c>
      <c r="S73" s="7">
        <v>100.0</v>
      </c>
      <c r="T73" s="7" t="s">
        <v>15</v>
      </c>
    </row>
    <row r="74">
      <c r="A74" s="7" t="s">
        <v>166</v>
      </c>
      <c r="B74" s="7">
        <v>0.07485</v>
      </c>
      <c r="C74" s="7">
        <v>100.0</v>
      </c>
      <c r="D74" s="7" t="s">
        <v>15</v>
      </c>
      <c r="E74" s="7" t="s">
        <v>167</v>
      </c>
      <c r="F74" s="7">
        <v>2.02164</v>
      </c>
      <c r="G74" s="7">
        <v>100.0</v>
      </c>
      <c r="H74" s="7" t="s">
        <v>15</v>
      </c>
      <c r="I74" s="7" t="s">
        <v>166</v>
      </c>
      <c r="J74" s="7">
        <v>1.95179</v>
      </c>
      <c r="K74" s="7">
        <v>100.0</v>
      </c>
      <c r="L74" s="7" t="s">
        <v>15</v>
      </c>
      <c r="M74" s="7" t="s">
        <v>167</v>
      </c>
      <c r="O74" s="7">
        <v>100.0</v>
      </c>
      <c r="P74" s="7" t="s">
        <v>15</v>
      </c>
      <c r="Q74" s="7" t="s">
        <v>167</v>
      </c>
      <c r="S74" s="7">
        <v>100.0</v>
      </c>
      <c r="T74" s="7" t="s">
        <v>15</v>
      </c>
    </row>
    <row r="75">
      <c r="A75" s="7" t="s">
        <v>168</v>
      </c>
      <c r="B75" s="7">
        <v>0.05082</v>
      </c>
      <c r="C75" s="7">
        <v>100.0</v>
      </c>
      <c r="D75" s="7" t="s">
        <v>15</v>
      </c>
      <c r="E75" s="7" t="s">
        <v>169</v>
      </c>
      <c r="F75" s="7">
        <v>1.64631</v>
      </c>
      <c r="G75" s="7">
        <v>100.0</v>
      </c>
      <c r="H75" s="7" t="s">
        <v>15</v>
      </c>
      <c r="I75" s="7" t="s">
        <v>169</v>
      </c>
      <c r="J75" s="7">
        <v>1.77658</v>
      </c>
      <c r="K75" s="7">
        <v>100.0</v>
      </c>
      <c r="L75" s="7" t="s">
        <v>15</v>
      </c>
      <c r="M75" s="7" t="s">
        <v>169</v>
      </c>
      <c r="O75" s="7">
        <v>100.0</v>
      </c>
      <c r="P75" s="7" t="s">
        <v>15</v>
      </c>
      <c r="Q75" s="7" t="s">
        <v>169</v>
      </c>
      <c r="S75" s="7">
        <v>100.0</v>
      </c>
      <c r="T75" s="7" t="s">
        <v>15</v>
      </c>
    </row>
    <row r="76">
      <c r="A76" s="7" t="s">
        <v>170</v>
      </c>
      <c r="B76" s="7">
        <v>0.03528</v>
      </c>
      <c r="C76" s="7">
        <v>93.88</v>
      </c>
      <c r="D76" s="7" t="s">
        <v>26</v>
      </c>
      <c r="E76" s="7" t="s">
        <v>171</v>
      </c>
      <c r="F76" s="7">
        <v>1.88772</v>
      </c>
      <c r="G76" s="7">
        <v>97.78</v>
      </c>
      <c r="H76" s="7" t="s">
        <v>26</v>
      </c>
      <c r="I76" s="7" t="s">
        <v>172</v>
      </c>
      <c r="J76" s="7">
        <v>1.94638</v>
      </c>
      <c r="K76" s="7">
        <v>100.0</v>
      </c>
      <c r="L76" s="7" t="s">
        <v>15</v>
      </c>
      <c r="M76" s="7" t="s">
        <v>173</v>
      </c>
      <c r="O76" s="7">
        <v>93.33</v>
      </c>
      <c r="P76" s="7" t="s">
        <v>26</v>
      </c>
      <c r="Q76" s="7" t="s">
        <v>174</v>
      </c>
      <c r="S76" s="7">
        <v>81.82</v>
      </c>
      <c r="T76" s="7" t="s">
        <v>26</v>
      </c>
    </row>
    <row r="77">
      <c r="A77" s="7" t="s">
        <v>175</v>
      </c>
      <c r="B77" s="7">
        <v>0.03699</v>
      </c>
      <c r="C77" s="7">
        <v>100.0</v>
      </c>
      <c r="D77" s="7" t="s">
        <v>15</v>
      </c>
      <c r="E77" s="7" t="s">
        <v>175</v>
      </c>
      <c r="F77" s="7">
        <v>1.85542</v>
      </c>
      <c r="G77" s="7">
        <v>100.0</v>
      </c>
      <c r="H77" s="7" t="s">
        <v>15</v>
      </c>
      <c r="I77" s="7" t="s">
        <v>175</v>
      </c>
      <c r="J77" s="7">
        <v>1.67363</v>
      </c>
      <c r="K77" s="7">
        <v>100.0</v>
      </c>
      <c r="L77" s="7" t="s">
        <v>15</v>
      </c>
      <c r="M77" s="7" t="s">
        <v>175</v>
      </c>
      <c r="O77" s="7">
        <v>100.0</v>
      </c>
      <c r="P77" s="7" t="s">
        <v>15</v>
      </c>
      <c r="Q77" s="7" t="s">
        <v>175</v>
      </c>
      <c r="S77" s="7">
        <v>100.0</v>
      </c>
      <c r="T77" s="7" t="s">
        <v>15</v>
      </c>
    </row>
    <row r="78">
      <c r="A78" s="7" t="s">
        <v>176</v>
      </c>
      <c r="B78" s="7">
        <v>0.03202</v>
      </c>
      <c r="C78" s="7">
        <v>100.0</v>
      </c>
      <c r="D78" s="7" t="s">
        <v>15</v>
      </c>
      <c r="E78" s="7" t="s">
        <v>176</v>
      </c>
      <c r="F78" s="7">
        <v>1.77773</v>
      </c>
      <c r="G78" s="7">
        <v>100.0</v>
      </c>
      <c r="H78" s="7" t="s">
        <v>15</v>
      </c>
      <c r="I78" s="7" t="s">
        <v>176</v>
      </c>
      <c r="J78" s="7">
        <v>1.79601</v>
      </c>
      <c r="K78" s="7">
        <v>100.0</v>
      </c>
      <c r="L78" s="7" t="s">
        <v>15</v>
      </c>
      <c r="M78" s="7" t="s">
        <v>176</v>
      </c>
      <c r="O78" s="7">
        <v>100.0</v>
      </c>
      <c r="P78" s="7" t="s">
        <v>15</v>
      </c>
      <c r="Q78" s="7" t="s">
        <v>176</v>
      </c>
      <c r="S78" s="7">
        <v>100.0</v>
      </c>
      <c r="T78" s="7" t="s">
        <v>15</v>
      </c>
    </row>
    <row r="79">
      <c r="A79" s="7" t="s">
        <v>177</v>
      </c>
      <c r="B79" s="7">
        <v>0.08953</v>
      </c>
      <c r="C79" s="7">
        <v>68.09</v>
      </c>
      <c r="D79" s="7" t="s">
        <v>26</v>
      </c>
      <c r="E79" s="7" t="s">
        <v>178</v>
      </c>
      <c r="F79" s="7">
        <v>1.79</v>
      </c>
      <c r="G79" s="7">
        <v>76.0</v>
      </c>
      <c r="H79" s="7" t="s">
        <v>26</v>
      </c>
      <c r="I79" s="7" t="s">
        <v>179</v>
      </c>
      <c r="J79" s="7">
        <v>1.82776</v>
      </c>
      <c r="K79" s="7">
        <v>76.0</v>
      </c>
      <c r="L79" s="7" t="s">
        <v>26</v>
      </c>
      <c r="M79" s="7" t="s">
        <v>178</v>
      </c>
      <c r="O79" s="7">
        <v>76.0</v>
      </c>
      <c r="P79" s="7" t="s">
        <v>26</v>
      </c>
      <c r="Q79" s="7" t="s">
        <v>178</v>
      </c>
      <c r="S79" s="7">
        <v>76.0</v>
      </c>
      <c r="T79" s="7" t="s">
        <v>26</v>
      </c>
    </row>
    <row r="80">
      <c r="A80" s="7" t="s">
        <v>180</v>
      </c>
      <c r="B80" s="7">
        <v>0.07866</v>
      </c>
      <c r="C80" s="7">
        <v>100.0</v>
      </c>
      <c r="D80" s="7" t="s">
        <v>15</v>
      </c>
      <c r="E80" s="7" t="s">
        <v>181</v>
      </c>
      <c r="F80" s="7">
        <v>1.85557</v>
      </c>
      <c r="G80" s="7">
        <v>100.0</v>
      </c>
      <c r="H80" s="7" t="s">
        <v>15</v>
      </c>
      <c r="I80" s="7" t="s">
        <v>181</v>
      </c>
      <c r="J80" s="7">
        <v>1.96273</v>
      </c>
      <c r="K80" s="7">
        <v>100.0</v>
      </c>
      <c r="L80" s="7" t="s">
        <v>15</v>
      </c>
      <c r="M80" s="7" t="s">
        <v>181</v>
      </c>
      <c r="O80" s="7">
        <v>100.0</v>
      </c>
      <c r="P80" s="7" t="s">
        <v>15</v>
      </c>
      <c r="Q80" s="7" t="s">
        <v>181</v>
      </c>
      <c r="S80" s="7">
        <v>100.0</v>
      </c>
      <c r="T80" s="7" t="s">
        <v>15</v>
      </c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14.38"/>
    <col customWidth="1" min="4" max="4" width="27.25"/>
    <col customWidth="1" min="5" max="5" width="49.88"/>
    <col customWidth="1" min="6" max="6" width="14.38"/>
    <col customWidth="1" min="8" max="8" width="27.25"/>
    <col customWidth="1" min="9" max="9" width="41.88"/>
    <col customWidth="1" min="12" max="12" width="27.25"/>
    <col customWidth="1" min="13" max="13" width="40.13"/>
    <col customWidth="1" min="14" max="14" width="14.38"/>
    <col customWidth="1" min="17" max="17" width="44.63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182</v>
      </c>
      <c r="B2" s="7">
        <v>0.09713</v>
      </c>
      <c r="C2" s="7">
        <v>100.0</v>
      </c>
      <c r="D2" s="7" t="s">
        <v>15</v>
      </c>
      <c r="E2" s="7" t="s">
        <v>182</v>
      </c>
      <c r="F2" s="7">
        <v>2.71812</v>
      </c>
      <c r="G2" s="7">
        <v>100.0</v>
      </c>
      <c r="H2" s="7" t="s">
        <v>15</v>
      </c>
      <c r="I2" s="7" t="s">
        <v>182</v>
      </c>
      <c r="J2" s="7">
        <v>1.76427</v>
      </c>
      <c r="K2" s="7">
        <v>100.0</v>
      </c>
      <c r="L2" s="7" t="s">
        <v>15</v>
      </c>
      <c r="M2" s="7" t="s">
        <v>182</v>
      </c>
      <c r="N2" s="7">
        <v>27.25175</v>
      </c>
      <c r="O2" s="7">
        <v>100.0</v>
      </c>
      <c r="P2" s="7" t="s">
        <v>15</v>
      </c>
      <c r="Q2" s="7" t="s">
        <v>183</v>
      </c>
      <c r="R2" s="7">
        <v>23.43226</v>
      </c>
      <c r="S2" s="7">
        <v>60.0</v>
      </c>
      <c r="T2" s="7" t="s">
        <v>26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184</v>
      </c>
      <c r="B3" s="7">
        <v>0.05432</v>
      </c>
      <c r="C3" s="7">
        <v>100.0</v>
      </c>
      <c r="D3" s="7" t="s">
        <v>15</v>
      </c>
      <c r="E3" s="7" t="s">
        <v>184</v>
      </c>
      <c r="F3" s="7">
        <v>1.68577</v>
      </c>
      <c r="G3" s="7">
        <v>100.0</v>
      </c>
      <c r="H3" s="7" t="s">
        <v>15</v>
      </c>
      <c r="I3" s="7" t="s">
        <v>184</v>
      </c>
      <c r="J3" s="7">
        <v>1.84447</v>
      </c>
      <c r="K3" s="7">
        <v>100.0</v>
      </c>
      <c r="L3" s="7" t="s">
        <v>15</v>
      </c>
      <c r="M3" s="7" t="s">
        <v>184</v>
      </c>
      <c r="O3" s="7">
        <v>100.0</v>
      </c>
      <c r="P3" s="7" t="s">
        <v>15</v>
      </c>
      <c r="Q3" s="7" t="s">
        <v>184</v>
      </c>
      <c r="S3" s="7">
        <v>100.0</v>
      </c>
      <c r="T3" s="7" t="s">
        <v>15</v>
      </c>
      <c r="U3" s="8">
        <f>AVERAGE(B2:B1000)</f>
        <v>0.07830396887</v>
      </c>
      <c r="V3" s="8">
        <f>AVERAGE(F2:F1000)</f>
        <v>2.049034747</v>
      </c>
      <c r="W3" s="8">
        <f>AVERAGE(J2:J1000)</f>
        <v>2.037562568</v>
      </c>
      <c r="X3" s="8">
        <f>N2/COUNTA(M2:M1000)</f>
        <v>0.1060379377</v>
      </c>
      <c r="Y3" s="8">
        <f>R2/COUNTA(Q2:Q1000)</f>
        <v>0.09117610895</v>
      </c>
      <c r="Z3" s="7" t="s">
        <v>18</v>
      </c>
    </row>
    <row r="4">
      <c r="A4" s="7" t="s">
        <v>185</v>
      </c>
      <c r="B4" s="7">
        <v>0.03969</v>
      </c>
      <c r="C4" s="7">
        <v>100.0</v>
      </c>
      <c r="D4" s="7" t="s">
        <v>15</v>
      </c>
      <c r="E4" s="7" t="s">
        <v>185</v>
      </c>
      <c r="F4" s="7">
        <v>1.97718</v>
      </c>
      <c r="G4" s="7">
        <v>100.0</v>
      </c>
      <c r="H4" s="7" t="s">
        <v>15</v>
      </c>
      <c r="I4" s="7" t="s">
        <v>185</v>
      </c>
      <c r="J4" s="7">
        <v>1.93663</v>
      </c>
      <c r="K4" s="7">
        <v>100.0</v>
      </c>
      <c r="L4" s="7" t="s">
        <v>15</v>
      </c>
      <c r="M4" s="7" t="s">
        <v>185</v>
      </c>
      <c r="O4" s="7">
        <v>100.0</v>
      </c>
      <c r="P4" s="7" t="s">
        <v>15</v>
      </c>
      <c r="Q4" s="7" t="s">
        <v>185</v>
      </c>
      <c r="S4" s="7">
        <v>100.0</v>
      </c>
      <c r="T4" s="7" t="s">
        <v>15</v>
      </c>
      <c r="U4" s="8">
        <f>STDEV(B2:B1000)</f>
        <v>0.05757977885</v>
      </c>
      <c r="V4" s="8">
        <f>STDEV(F2:F1000)</f>
        <v>0.4775299197</v>
      </c>
      <c r="W4" s="8">
        <f>STDEV(J2:J1000)</f>
        <v>0.4420498071</v>
      </c>
      <c r="X4" s="8"/>
      <c r="Y4" s="8"/>
      <c r="Z4" s="7" t="s">
        <v>20</v>
      </c>
    </row>
    <row r="5">
      <c r="A5" s="7" t="s">
        <v>186</v>
      </c>
      <c r="B5" s="7">
        <v>0.03476</v>
      </c>
      <c r="C5" s="7">
        <v>100.0</v>
      </c>
      <c r="D5" s="7" t="s">
        <v>15</v>
      </c>
      <c r="E5" s="7" t="s">
        <v>186</v>
      </c>
      <c r="F5" s="7">
        <v>2.64467</v>
      </c>
      <c r="G5" s="7">
        <v>100.0</v>
      </c>
      <c r="H5" s="7" t="s">
        <v>15</v>
      </c>
      <c r="I5" s="7" t="s">
        <v>186</v>
      </c>
      <c r="J5" s="7">
        <v>1.96766</v>
      </c>
      <c r="K5" s="7">
        <v>100.0</v>
      </c>
      <c r="L5" s="7" t="s">
        <v>15</v>
      </c>
      <c r="M5" s="7" t="s">
        <v>186</v>
      </c>
      <c r="O5" s="7">
        <v>100.0</v>
      </c>
      <c r="P5" s="7" t="s">
        <v>15</v>
      </c>
      <c r="Q5" s="7" t="s">
        <v>186</v>
      </c>
      <c r="S5" s="7">
        <v>100.0</v>
      </c>
      <c r="T5" s="7" t="s">
        <v>15</v>
      </c>
      <c r="U5" s="8">
        <f>MAX(B2:B1000)</f>
        <v>0.50498</v>
      </c>
      <c r="V5" s="8">
        <f>MAX(F2:F1000)</f>
        <v>6.10008</v>
      </c>
      <c r="W5" s="8">
        <f>MAX(J2:J1000)</f>
        <v>4.97358</v>
      </c>
      <c r="X5" s="8"/>
      <c r="Y5" s="8"/>
      <c r="Z5" s="7" t="s">
        <v>22</v>
      </c>
    </row>
    <row r="6">
      <c r="A6" s="7" t="s">
        <v>187</v>
      </c>
      <c r="B6" s="7">
        <v>0.06091</v>
      </c>
      <c r="C6" s="7">
        <v>63.64</v>
      </c>
      <c r="D6" s="7" t="s">
        <v>26</v>
      </c>
      <c r="E6" s="7" t="s">
        <v>188</v>
      </c>
      <c r="F6" s="7">
        <v>2.13406</v>
      </c>
      <c r="G6" s="7">
        <v>63.64</v>
      </c>
      <c r="H6" s="7" t="s">
        <v>26</v>
      </c>
      <c r="I6" s="7" t="s">
        <v>188</v>
      </c>
      <c r="J6" s="7">
        <v>1.8301</v>
      </c>
      <c r="K6" s="7">
        <v>63.64</v>
      </c>
      <c r="L6" s="7" t="s">
        <v>26</v>
      </c>
      <c r="M6" s="7" t="s">
        <v>188</v>
      </c>
      <c r="O6" s="7">
        <v>63.64</v>
      </c>
      <c r="P6" s="7" t="s">
        <v>26</v>
      </c>
      <c r="Q6" s="7" t="s">
        <v>189</v>
      </c>
      <c r="S6" s="7">
        <v>86.36</v>
      </c>
      <c r="T6" s="7" t="s">
        <v>26</v>
      </c>
      <c r="U6" s="8">
        <f>MIN(B2:B1000)</f>
        <v>0.02974</v>
      </c>
      <c r="V6" s="8">
        <f>MIN(F2:F1000)</f>
        <v>1.6154</v>
      </c>
      <c r="W6" s="8">
        <f>MIN(J2:J1000)</f>
        <v>1.54995</v>
      </c>
      <c r="X6" s="8"/>
      <c r="Y6" s="8"/>
      <c r="Z6" s="7" t="s">
        <v>24</v>
      </c>
    </row>
    <row r="7">
      <c r="A7" s="7" t="s">
        <v>190</v>
      </c>
      <c r="B7" s="7">
        <v>0.05483</v>
      </c>
      <c r="C7" s="7">
        <v>100.0</v>
      </c>
      <c r="D7" s="7" t="s">
        <v>15</v>
      </c>
      <c r="E7" s="7" t="s">
        <v>190</v>
      </c>
      <c r="F7" s="7">
        <v>3.34616</v>
      </c>
      <c r="G7" s="7">
        <v>100.0</v>
      </c>
      <c r="H7" s="7" t="s">
        <v>15</v>
      </c>
      <c r="I7" s="7" t="s">
        <v>190</v>
      </c>
      <c r="J7" s="7">
        <v>1.67347</v>
      </c>
      <c r="K7" s="7">
        <v>100.0</v>
      </c>
      <c r="L7" s="7" t="s">
        <v>15</v>
      </c>
      <c r="M7" s="7" t="s">
        <v>190</v>
      </c>
      <c r="O7" s="7">
        <v>100.0</v>
      </c>
      <c r="P7" s="7" t="s">
        <v>15</v>
      </c>
      <c r="Q7" s="7" t="s">
        <v>190</v>
      </c>
      <c r="S7" s="7">
        <v>100.0</v>
      </c>
      <c r="T7" s="7" t="s">
        <v>15</v>
      </c>
      <c r="U7" s="8">
        <f>SUM(B2:B1000)</f>
        <v>20.12412</v>
      </c>
      <c r="V7" s="8">
        <f>SUM(F2:F1000)</f>
        <v>526.60193</v>
      </c>
      <c r="W7" s="8">
        <f>SUM(J2:J1000)</f>
        <v>523.65358</v>
      </c>
      <c r="X7" s="8">
        <f>N2</f>
        <v>27.25175</v>
      </c>
      <c r="Y7" s="8">
        <f>R2</f>
        <v>23.43226</v>
      </c>
      <c r="Z7" s="7" t="s">
        <v>28</v>
      </c>
    </row>
    <row r="8">
      <c r="A8" s="7" t="s">
        <v>191</v>
      </c>
      <c r="B8" s="7">
        <v>0.05841</v>
      </c>
      <c r="C8" s="7">
        <v>63.41</v>
      </c>
      <c r="D8" s="7" t="s">
        <v>26</v>
      </c>
      <c r="E8" s="7" t="s">
        <v>192</v>
      </c>
      <c r="F8" s="7">
        <v>1.65812</v>
      </c>
      <c r="G8" s="7">
        <v>63.41</v>
      </c>
      <c r="H8" s="7" t="s">
        <v>26</v>
      </c>
      <c r="I8" s="7" t="s">
        <v>192</v>
      </c>
      <c r="J8" s="7">
        <v>2.00405</v>
      </c>
      <c r="K8" s="7">
        <v>63.41</v>
      </c>
      <c r="L8" s="7" t="s">
        <v>26</v>
      </c>
      <c r="M8" s="7" t="s">
        <v>193</v>
      </c>
      <c r="O8" s="7">
        <v>68.42</v>
      </c>
      <c r="P8" s="7" t="s">
        <v>26</v>
      </c>
      <c r="Q8" s="7" t="s">
        <v>194</v>
      </c>
      <c r="S8" s="7">
        <v>82.93</v>
      </c>
      <c r="T8" s="7" t="s">
        <v>26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195</v>
      </c>
      <c r="B9" s="7">
        <v>0.06405</v>
      </c>
      <c r="C9" s="7">
        <v>100.0</v>
      </c>
      <c r="D9" s="7" t="s">
        <v>15</v>
      </c>
      <c r="E9" s="7" t="s">
        <v>195</v>
      </c>
      <c r="F9" s="7">
        <v>1.9079</v>
      </c>
      <c r="G9" s="7">
        <v>100.0</v>
      </c>
      <c r="H9" s="7" t="s">
        <v>15</v>
      </c>
      <c r="I9" s="7" t="s">
        <v>195</v>
      </c>
      <c r="J9" s="7">
        <v>1.58953</v>
      </c>
      <c r="K9" s="7">
        <v>100.0</v>
      </c>
      <c r="L9" s="7" t="s">
        <v>15</v>
      </c>
      <c r="M9" s="7" t="s">
        <v>195</v>
      </c>
      <c r="O9" s="7">
        <v>100.0</v>
      </c>
      <c r="P9" s="7" t="s">
        <v>15</v>
      </c>
      <c r="Q9" s="7" t="s">
        <v>195</v>
      </c>
      <c r="S9" s="7">
        <v>100.0</v>
      </c>
      <c r="T9" s="7" t="s">
        <v>15</v>
      </c>
      <c r="U9" s="9">
        <f>AVERAGE(C2:C1000)</f>
        <v>80.50856031</v>
      </c>
      <c r="V9" s="9">
        <f>AVERAGE(G2:G1000)</f>
        <v>89.93587549</v>
      </c>
      <c r="W9" s="9">
        <f>AVERAGE(K2:K1000)</f>
        <v>88.32163424</v>
      </c>
      <c r="X9" s="9">
        <f>AVERAGE(O2:O1000)</f>
        <v>89.97424125</v>
      </c>
      <c r="Y9" s="9">
        <f>AVERAGE(S2:S1000)</f>
        <v>92.30466926</v>
      </c>
      <c r="Z9" s="7" t="s">
        <v>18</v>
      </c>
    </row>
    <row r="10">
      <c r="A10" s="7" t="s">
        <v>196</v>
      </c>
      <c r="B10" s="7">
        <v>0.10687</v>
      </c>
      <c r="C10" s="7">
        <v>66.67</v>
      </c>
      <c r="D10" s="7" t="s">
        <v>26</v>
      </c>
      <c r="E10" s="7" t="s">
        <v>197</v>
      </c>
      <c r="F10" s="7">
        <v>1.99189</v>
      </c>
      <c r="G10" s="7">
        <v>66.67</v>
      </c>
      <c r="H10" s="7" t="s">
        <v>26</v>
      </c>
      <c r="I10" s="7" t="s">
        <v>197</v>
      </c>
      <c r="J10" s="7">
        <v>2.22537</v>
      </c>
      <c r="K10" s="7">
        <v>66.67</v>
      </c>
      <c r="L10" s="7" t="s">
        <v>26</v>
      </c>
      <c r="M10" s="7" t="s">
        <v>198</v>
      </c>
      <c r="O10" s="7">
        <v>71.43</v>
      </c>
      <c r="P10" s="7" t="s">
        <v>26</v>
      </c>
      <c r="Q10" s="7" t="s">
        <v>199</v>
      </c>
      <c r="S10" s="7">
        <v>84.44</v>
      </c>
      <c r="T10" s="7" t="s">
        <v>26</v>
      </c>
      <c r="U10" s="9">
        <f>STDEV(C2:C1000)</f>
        <v>20.84709478</v>
      </c>
      <c r="V10" s="9">
        <f>STDEV(G2:G1000)</f>
        <v>14.51001271</v>
      </c>
      <c r="W10" s="9">
        <f>STDEV(K2:K1000)</f>
        <v>15.48828475</v>
      </c>
      <c r="X10" s="9">
        <f>STDEV(O2:O1000)</f>
        <v>14.20360579</v>
      </c>
      <c r="Y10" s="9">
        <f>STDEV(S2:S1000)</f>
        <v>12.34985374</v>
      </c>
      <c r="Z10" s="7" t="s">
        <v>20</v>
      </c>
    </row>
    <row r="11">
      <c r="A11" s="7" t="s">
        <v>200</v>
      </c>
      <c r="B11" s="7">
        <v>0.0742</v>
      </c>
      <c r="C11" s="7">
        <v>100.0</v>
      </c>
      <c r="D11" s="7" t="s">
        <v>15</v>
      </c>
      <c r="E11" s="7" t="s">
        <v>200</v>
      </c>
      <c r="F11" s="7">
        <v>1.75523</v>
      </c>
      <c r="G11" s="7">
        <v>100.0</v>
      </c>
      <c r="H11" s="7" t="s">
        <v>15</v>
      </c>
      <c r="I11" s="7" t="s">
        <v>200</v>
      </c>
      <c r="J11" s="7">
        <v>1.96025</v>
      </c>
      <c r="K11" s="7">
        <v>100.0</v>
      </c>
      <c r="L11" s="7" t="s">
        <v>15</v>
      </c>
      <c r="M11" s="7" t="s">
        <v>200</v>
      </c>
      <c r="O11" s="7">
        <v>100.0</v>
      </c>
      <c r="P11" s="7" t="s">
        <v>15</v>
      </c>
      <c r="Q11" s="7" t="s">
        <v>200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201</v>
      </c>
      <c r="B12" s="7">
        <v>0.06822</v>
      </c>
      <c r="C12" s="7">
        <v>100.0</v>
      </c>
      <c r="D12" s="7" t="s">
        <v>15</v>
      </c>
      <c r="E12" s="7" t="s">
        <v>201</v>
      </c>
      <c r="F12" s="7">
        <v>1.76816</v>
      </c>
      <c r="G12" s="7">
        <v>100.0</v>
      </c>
      <c r="H12" s="7" t="s">
        <v>15</v>
      </c>
      <c r="I12" s="7" t="s">
        <v>201</v>
      </c>
      <c r="J12" s="7">
        <v>1.81155</v>
      </c>
      <c r="K12" s="7">
        <v>100.0</v>
      </c>
      <c r="L12" s="7" t="s">
        <v>15</v>
      </c>
      <c r="M12" s="7" t="s">
        <v>201</v>
      </c>
      <c r="O12" s="7">
        <v>100.0</v>
      </c>
      <c r="P12" s="7" t="s">
        <v>15</v>
      </c>
      <c r="Q12" s="7" t="s">
        <v>201</v>
      </c>
      <c r="S12" s="7">
        <v>100.0</v>
      </c>
      <c r="T12" s="7" t="s">
        <v>15</v>
      </c>
      <c r="U12" s="9">
        <f>MIN(C2:C1000)</f>
        <v>0</v>
      </c>
      <c r="V12" s="9">
        <f>MIN(G2:G1000)</f>
        <v>47.06</v>
      </c>
      <c r="W12" s="9">
        <f>MIN(K2:K1000)</f>
        <v>35</v>
      </c>
      <c r="X12" s="9">
        <f>MIN(O2:O1000)</f>
        <v>47.06</v>
      </c>
      <c r="Y12" s="9">
        <f>MIN(S2:S1000)</f>
        <v>42.11</v>
      </c>
      <c r="Z12" s="7" t="s">
        <v>24</v>
      </c>
    </row>
    <row r="13">
      <c r="A13" s="7" t="s">
        <v>202</v>
      </c>
      <c r="B13" s="7">
        <v>0.05373</v>
      </c>
      <c r="C13" s="7">
        <v>100.0</v>
      </c>
      <c r="D13" s="7" t="s">
        <v>15</v>
      </c>
      <c r="E13" s="7" t="s">
        <v>202</v>
      </c>
      <c r="F13" s="7">
        <v>2.0525</v>
      </c>
      <c r="G13" s="7">
        <v>100.0</v>
      </c>
      <c r="H13" s="7" t="s">
        <v>15</v>
      </c>
      <c r="I13" s="7" t="s">
        <v>202</v>
      </c>
      <c r="J13" s="7">
        <v>1.67829</v>
      </c>
      <c r="K13" s="7">
        <v>100.0</v>
      </c>
      <c r="L13" s="7" t="s">
        <v>15</v>
      </c>
      <c r="M13" s="7" t="s">
        <v>202</v>
      </c>
      <c r="O13" s="7">
        <v>100.0</v>
      </c>
      <c r="P13" s="7" t="s">
        <v>15</v>
      </c>
      <c r="Q13" s="7" t="s">
        <v>202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203</v>
      </c>
      <c r="B14" s="7">
        <v>0.07779</v>
      </c>
      <c r="C14" s="7">
        <v>70.97</v>
      </c>
      <c r="D14" s="7" t="s">
        <v>26</v>
      </c>
      <c r="E14" s="7" t="s">
        <v>204</v>
      </c>
      <c r="F14" s="7">
        <v>2.02976</v>
      </c>
      <c r="G14" s="7">
        <v>70.97</v>
      </c>
      <c r="H14" s="7" t="s">
        <v>26</v>
      </c>
      <c r="I14" s="7" t="s">
        <v>203</v>
      </c>
      <c r="J14" s="7">
        <v>1.91715</v>
      </c>
      <c r="K14" s="7">
        <v>70.97</v>
      </c>
      <c r="L14" s="7" t="s">
        <v>26</v>
      </c>
      <c r="M14" s="7" t="s">
        <v>204</v>
      </c>
      <c r="O14" s="7">
        <v>70.97</v>
      </c>
      <c r="P14" s="7" t="s">
        <v>26</v>
      </c>
      <c r="Q14" s="7" t="s">
        <v>204</v>
      </c>
      <c r="S14" s="7">
        <v>70.97</v>
      </c>
      <c r="T14" s="7" t="s">
        <v>26</v>
      </c>
      <c r="U14" s="8">
        <f t="shared" ref="U14:Y14" si="1">U15/(U15+U16+U17)</f>
        <v>0.3891050584</v>
      </c>
      <c r="V14" s="8">
        <f t="shared" si="1"/>
        <v>0.5369649805</v>
      </c>
      <c r="W14" s="8">
        <f t="shared" si="1"/>
        <v>0.4785992218</v>
      </c>
      <c r="X14" s="8">
        <f t="shared" si="1"/>
        <v>0.5291828794</v>
      </c>
      <c r="Y14" s="8">
        <f t="shared" si="1"/>
        <v>0.5680933852</v>
      </c>
      <c r="Z14" s="7" t="s">
        <v>44</v>
      </c>
    </row>
    <row r="15">
      <c r="A15" s="7" t="s">
        <v>205</v>
      </c>
      <c r="B15" s="7">
        <v>0.10236</v>
      </c>
      <c r="C15" s="7">
        <v>93.62</v>
      </c>
      <c r="D15" s="7" t="s">
        <v>26</v>
      </c>
      <c r="E15" s="7" t="s">
        <v>205</v>
      </c>
      <c r="F15" s="7">
        <v>2.61502</v>
      </c>
      <c r="G15" s="7">
        <v>93.62</v>
      </c>
      <c r="H15" s="7" t="s">
        <v>26</v>
      </c>
      <c r="I15" s="7" t="s">
        <v>205</v>
      </c>
      <c r="J15" s="7">
        <v>1.92734</v>
      </c>
      <c r="K15" s="7">
        <v>93.62</v>
      </c>
      <c r="L15" s="7" t="s">
        <v>26</v>
      </c>
      <c r="M15" s="7" t="s">
        <v>205</v>
      </c>
      <c r="O15" s="7">
        <v>93.62</v>
      </c>
      <c r="P15" s="7" t="s">
        <v>26</v>
      </c>
      <c r="Q15" s="7" t="s">
        <v>205</v>
      </c>
      <c r="S15" s="7">
        <v>93.62</v>
      </c>
      <c r="T15" s="7" t="s">
        <v>26</v>
      </c>
      <c r="U15" s="10">
        <f>COUNTIF(D2:D1000,"VALID")</f>
        <v>100</v>
      </c>
      <c r="V15" s="10">
        <f>COUNTIF(H2:H1000,"VALID")</f>
        <v>138</v>
      </c>
      <c r="W15" s="10">
        <f>COUNTIF(L2:L1000,"VALID")</f>
        <v>123</v>
      </c>
      <c r="X15" s="10">
        <f>COUNTIF(P2:P1000,"VALID")</f>
        <v>136</v>
      </c>
      <c r="Y15" s="10">
        <f>COUNTIF(T2:T1000,"VALID")</f>
        <v>146</v>
      </c>
      <c r="Z15" s="7" t="s">
        <v>47</v>
      </c>
    </row>
    <row r="16">
      <c r="A16" s="7" t="s">
        <v>206</v>
      </c>
      <c r="B16" s="7">
        <v>0.06757</v>
      </c>
      <c r="C16" s="7">
        <v>92.31</v>
      </c>
      <c r="D16" s="7" t="s">
        <v>26</v>
      </c>
      <c r="E16" s="7" t="s">
        <v>206</v>
      </c>
      <c r="F16" s="7">
        <v>1.8193</v>
      </c>
      <c r="G16" s="7">
        <v>92.31</v>
      </c>
      <c r="H16" s="7" t="s">
        <v>26</v>
      </c>
      <c r="I16" s="7" t="s">
        <v>206</v>
      </c>
      <c r="J16" s="7">
        <v>2.0301</v>
      </c>
      <c r="K16" s="7">
        <v>92.31</v>
      </c>
      <c r="L16" s="7" t="s">
        <v>26</v>
      </c>
      <c r="M16" s="7" t="s">
        <v>206</v>
      </c>
      <c r="O16" s="7">
        <v>92.31</v>
      </c>
      <c r="P16" s="7" t="s">
        <v>26</v>
      </c>
      <c r="Q16" s="7" t="s">
        <v>206</v>
      </c>
      <c r="S16" s="7">
        <v>92.31</v>
      </c>
      <c r="T16" s="7" t="s">
        <v>26</v>
      </c>
      <c r="U16" s="10">
        <f>COUNTIF(D2:D1000,"INVALID")</f>
        <v>153</v>
      </c>
      <c r="V16" s="10">
        <f>COUNTIF(H2:H1000,"INVALID")</f>
        <v>118</v>
      </c>
      <c r="W16" s="10">
        <f>COUNTIF(L2:L1000,"INVALID")</f>
        <v>132</v>
      </c>
      <c r="X16" s="10">
        <f>COUNTIF(P2:P1000,"INVALID")</f>
        <v>121</v>
      </c>
      <c r="Y16" s="10">
        <f>COUNTIF(T2:T1000,"INVALID")</f>
        <v>111</v>
      </c>
      <c r="Z16" s="7" t="s">
        <v>50</v>
      </c>
    </row>
    <row r="17">
      <c r="A17" s="7" t="s">
        <v>207</v>
      </c>
      <c r="B17" s="7">
        <v>0.08702</v>
      </c>
      <c r="C17" s="7">
        <v>100.0</v>
      </c>
      <c r="D17" s="7" t="s">
        <v>15</v>
      </c>
      <c r="E17" s="7" t="s">
        <v>207</v>
      </c>
      <c r="F17" s="7">
        <v>1.79279</v>
      </c>
      <c r="G17" s="7">
        <v>100.0</v>
      </c>
      <c r="H17" s="7" t="s">
        <v>15</v>
      </c>
      <c r="I17" s="7" t="s">
        <v>207</v>
      </c>
      <c r="J17" s="7">
        <v>1.84376</v>
      </c>
      <c r="K17" s="7">
        <v>100.0</v>
      </c>
      <c r="L17" s="7" t="s">
        <v>15</v>
      </c>
      <c r="M17" s="7" t="s">
        <v>207</v>
      </c>
      <c r="O17" s="7">
        <v>100.0</v>
      </c>
      <c r="P17" s="7" t="s">
        <v>15</v>
      </c>
      <c r="Q17" s="7" t="s">
        <v>207</v>
      </c>
      <c r="S17" s="7">
        <v>100.0</v>
      </c>
      <c r="T17" s="7" t="s">
        <v>15</v>
      </c>
      <c r="U17" s="10">
        <f>COUNTIF(D2:D1000,"ERROR")</f>
        <v>4</v>
      </c>
      <c r="V17" s="10">
        <f>COUNTIF(H2:H1000,"ERROR")</f>
        <v>1</v>
      </c>
      <c r="W17" s="10">
        <f>COUNTIF(L2:L1000,"ERROR")</f>
        <v>2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208</v>
      </c>
      <c r="B18" s="7">
        <v>0.2205</v>
      </c>
      <c r="C18" s="7">
        <v>100.0</v>
      </c>
      <c r="D18" s="7" t="s">
        <v>15</v>
      </c>
      <c r="E18" s="7" t="s">
        <v>208</v>
      </c>
      <c r="F18" s="7">
        <v>2.08176</v>
      </c>
      <c r="G18" s="7">
        <v>100.0</v>
      </c>
      <c r="H18" s="7" t="s">
        <v>15</v>
      </c>
      <c r="I18" s="7" t="s">
        <v>208</v>
      </c>
      <c r="J18" s="7">
        <v>1.78102</v>
      </c>
      <c r="K18" s="7">
        <v>100.0</v>
      </c>
      <c r="L18" s="7" t="s">
        <v>15</v>
      </c>
      <c r="M18" s="7" t="s">
        <v>208</v>
      </c>
      <c r="O18" s="7">
        <v>100.0</v>
      </c>
      <c r="P18" s="7" t="s">
        <v>15</v>
      </c>
      <c r="Q18" s="7" t="s">
        <v>208</v>
      </c>
      <c r="S18" s="7">
        <v>100.0</v>
      </c>
      <c r="T18" s="7" t="s">
        <v>15</v>
      </c>
      <c r="U18" s="14">
        <f t="shared" ref="U18:Y18" si="2">U17/(U17+U16+U15)</f>
        <v>0.01556420233</v>
      </c>
      <c r="V18" s="14">
        <f t="shared" si="2"/>
        <v>0.003891050584</v>
      </c>
      <c r="W18" s="14">
        <f t="shared" si="2"/>
        <v>0.007782101167</v>
      </c>
      <c r="X18" s="14">
        <f t="shared" si="2"/>
        <v>0</v>
      </c>
      <c r="Y18" s="14">
        <f t="shared" si="2"/>
        <v>0</v>
      </c>
      <c r="Z18" s="7" t="s">
        <v>57</v>
      </c>
    </row>
    <row r="19">
      <c r="A19" s="7" t="s">
        <v>209</v>
      </c>
      <c r="B19" s="7">
        <v>0.07707</v>
      </c>
      <c r="C19" s="7">
        <v>100.0</v>
      </c>
      <c r="D19" s="7" t="s">
        <v>15</v>
      </c>
      <c r="E19" s="7" t="s">
        <v>209</v>
      </c>
      <c r="F19" s="7">
        <v>1.91309</v>
      </c>
      <c r="G19" s="7">
        <v>100.0</v>
      </c>
      <c r="H19" s="7" t="s">
        <v>15</v>
      </c>
      <c r="I19" s="7" t="s">
        <v>209</v>
      </c>
      <c r="J19" s="7">
        <v>3.69195</v>
      </c>
      <c r="K19" s="7">
        <v>100.0</v>
      </c>
      <c r="L19" s="7" t="s">
        <v>15</v>
      </c>
      <c r="M19" s="7" t="s">
        <v>209</v>
      </c>
      <c r="O19" s="7">
        <v>100.0</v>
      </c>
      <c r="P19" s="7" t="s">
        <v>15</v>
      </c>
      <c r="Q19" s="7" t="s">
        <v>209</v>
      </c>
      <c r="S19" s="7">
        <v>100.0</v>
      </c>
      <c r="T19" s="7" t="s">
        <v>15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210</v>
      </c>
      <c r="B20" s="7">
        <v>0.13479</v>
      </c>
      <c r="C20" s="7">
        <v>100.0</v>
      </c>
      <c r="D20" s="7" t="s">
        <v>15</v>
      </c>
      <c r="E20" s="7" t="s">
        <v>210</v>
      </c>
      <c r="F20" s="7">
        <v>1.86871</v>
      </c>
      <c r="G20" s="7">
        <v>100.0</v>
      </c>
      <c r="H20" s="7" t="s">
        <v>15</v>
      </c>
      <c r="I20" s="7" t="s">
        <v>210</v>
      </c>
      <c r="J20" s="7">
        <v>1.72088</v>
      </c>
      <c r="K20" s="7">
        <v>100.0</v>
      </c>
      <c r="L20" s="7" t="s">
        <v>15</v>
      </c>
      <c r="M20" s="7" t="s">
        <v>210</v>
      </c>
      <c r="O20" s="7">
        <v>100.0</v>
      </c>
      <c r="P20" s="7" t="s">
        <v>15</v>
      </c>
      <c r="Q20" s="7" t="s">
        <v>210</v>
      </c>
      <c r="S20" s="7">
        <v>100.0</v>
      </c>
      <c r="T20" s="7" t="s">
        <v>15</v>
      </c>
      <c r="U20" s="8">
        <f>COUNTIF(C2:C1000,100)/COUNTA(A2:A1000)</f>
        <v>0.3891050584</v>
      </c>
      <c r="V20" s="8">
        <f>COUNTIF(G2:G1000,100)/COUNTA(E2:E1000)</f>
        <v>0.5369649805</v>
      </c>
      <c r="W20" s="8">
        <f>COUNTIF(K2:K1000,100)/COUNTA(I2:I1000)</f>
        <v>0.4785992218</v>
      </c>
      <c r="X20" s="8">
        <f>COUNTIF(O2:O1000,100)/COUNTA(M2:M1000)</f>
        <v>0.5291828794</v>
      </c>
      <c r="Y20" s="8">
        <f>COUNTIF(S2:S1000,100)/COUNTA(Q2:Q1000)</f>
        <v>0.5680933852</v>
      </c>
      <c r="Z20" s="7" t="s">
        <v>63</v>
      </c>
    </row>
    <row r="21">
      <c r="A21" s="7" t="s">
        <v>211</v>
      </c>
      <c r="B21" s="7">
        <v>0.08028</v>
      </c>
      <c r="C21" s="7">
        <v>100.0</v>
      </c>
      <c r="D21" s="7" t="s">
        <v>15</v>
      </c>
      <c r="E21" s="7" t="s">
        <v>211</v>
      </c>
      <c r="F21" s="7">
        <v>1.96475</v>
      </c>
      <c r="G21" s="7">
        <v>100.0</v>
      </c>
      <c r="H21" s="7" t="s">
        <v>15</v>
      </c>
      <c r="I21" s="7" t="s">
        <v>211</v>
      </c>
      <c r="J21" s="7">
        <v>1.9316</v>
      </c>
      <c r="K21" s="7">
        <v>100.0</v>
      </c>
      <c r="L21" s="7" t="s">
        <v>15</v>
      </c>
      <c r="M21" s="7" t="s">
        <v>211</v>
      </c>
      <c r="O21" s="7">
        <v>100.0</v>
      </c>
      <c r="P21" s="7" t="s">
        <v>15</v>
      </c>
      <c r="Q21" s="7" t="s">
        <v>211</v>
      </c>
      <c r="S21" s="7">
        <v>100.0</v>
      </c>
      <c r="T21" s="7" t="s">
        <v>15</v>
      </c>
      <c r="U21" s="10">
        <f>COUNTIF(C2:C1000,100)</f>
        <v>100</v>
      </c>
      <c r="V21" s="10">
        <f>COUNTIF(G2:G1000,100)</f>
        <v>138</v>
      </c>
      <c r="W21" s="10">
        <f>COUNTIF(K2:K1000,100)</f>
        <v>123</v>
      </c>
      <c r="X21" s="10">
        <f>COUNTIF(O2:O1000,100)</f>
        <v>136</v>
      </c>
      <c r="Y21" s="10">
        <f>COUNTIF(S2:S1000,100)</f>
        <v>146</v>
      </c>
      <c r="Z21" s="7" t="s">
        <v>65</v>
      </c>
    </row>
    <row r="22">
      <c r="A22" s="7" t="s">
        <v>212</v>
      </c>
      <c r="B22" s="7">
        <v>0.05939</v>
      </c>
      <c r="C22" s="7">
        <v>100.0</v>
      </c>
      <c r="D22" s="7" t="s">
        <v>15</v>
      </c>
      <c r="E22" s="7" t="s">
        <v>212</v>
      </c>
      <c r="F22" s="7">
        <v>1.90882</v>
      </c>
      <c r="G22" s="7">
        <v>100.0</v>
      </c>
      <c r="H22" s="7" t="s">
        <v>15</v>
      </c>
      <c r="I22" s="7" t="s">
        <v>212</v>
      </c>
      <c r="J22" s="7">
        <v>2.14109</v>
      </c>
      <c r="K22" s="7">
        <v>100.0</v>
      </c>
      <c r="L22" s="7" t="s">
        <v>15</v>
      </c>
      <c r="M22" s="7" t="s">
        <v>212</v>
      </c>
      <c r="O22" s="7">
        <v>100.0</v>
      </c>
      <c r="P22" s="7" t="s">
        <v>15</v>
      </c>
      <c r="Q22" s="7" t="s">
        <v>212</v>
      </c>
      <c r="S22" s="7">
        <v>100.0</v>
      </c>
      <c r="T22" s="7" t="s">
        <v>15</v>
      </c>
      <c r="U22" s="10">
        <f>COUNTA(A2:A1000)-COUNTIF(C2:C1000,100)</f>
        <v>157</v>
      </c>
      <c r="V22" s="10">
        <f>COUNTA(E2:E1000)-COUNTIF(G2:G1000,100)</f>
        <v>119</v>
      </c>
      <c r="W22" s="10">
        <f>COUNTA(I2:I1000)-COUNTIF(K2:K1000,100)</f>
        <v>134</v>
      </c>
      <c r="X22" s="10">
        <f>COUNTA(M2:M1000)-COUNTIF(O2:O1000,100)</f>
        <v>121</v>
      </c>
      <c r="Y22" s="10">
        <f>COUNTA(Q2:Q1000)-COUNTIF(S2:S1000,100)</f>
        <v>111</v>
      </c>
      <c r="Z22" s="7" t="s">
        <v>69</v>
      </c>
    </row>
    <row r="23">
      <c r="A23" s="7" t="s">
        <v>213</v>
      </c>
      <c r="B23" s="7">
        <v>0.18268</v>
      </c>
      <c r="C23" s="7">
        <v>100.0</v>
      </c>
      <c r="D23" s="7" t="s">
        <v>15</v>
      </c>
      <c r="E23" s="7" t="s">
        <v>213</v>
      </c>
      <c r="F23" s="7">
        <v>2.00834</v>
      </c>
      <c r="G23" s="7">
        <v>100.0</v>
      </c>
      <c r="H23" s="7" t="s">
        <v>15</v>
      </c>
      <c r="I23" s="7" t="s">
        <v>213</v>
      </c>
      <c r="J23" s="7">
        <v>1.64447</v>
      </c>
      <c r="K23" s="7">
        <v>100.0</v>
      </c>
      <c r="L23" s="7" t="s">
        <v>15</v>
      </c>
      <c r="M23" s="7" t="s">
        <v>213</v>
      </c>
      <c r="O23" s="7">
        <v>100.0</v>
      </c>
      <c r="P23" s="7" t="s">
        <v>15</v>
      </c>
      <c r="Q23" s="7" t="s">
        <v>213</v>
      </c>
      <c r="S23" s="7">
        <v>100.0</v>
      </c>
      <c r="T23" s="7" t="s">
        <v>15</v>
      </c>
    </row>
    <row r="24">
      <c r="A24" s="7" t="s">
        <v>214</v>
      </c>
      <c r="B24" s="7">
        <v>0.11503</v>
      </c>
      <c r="C24" s="7">
        <v>100.0</v>
      </c>
      <c r="D24" s="7" t="s">
        <v>15</v>
      </c>
      <c r="E24" s="7" t="s">
        <v>214</v>
      </c>
      <c r="F24" s="7">
        <v>1.72651</v>
      </c>
      <c r="G24" s="7">
        <v>100.0</v>
      </c>
      <c r="H24" s="7" t="s">
        <v>15</v>
      </c>
      <c r="I24" s="7" t="s">
        <v>214</v>
      </c>
      <c r="J24" s="7">
        <v>1.88284</v>
      </c>
      <c r="K24" s="7">
        <v>100.0</v>
      </c>
      <c r="L24" s="7" t="s">
        <v>15</v>
      </c>
      <c r="M24" s="7" t="s">
        <v>214</v>
      </c>
      <c r="O24" s="7">
        <v>100.0</v>
      </c>
      <c r="P24" s="7" t="s">
        <v>15</v>
      </c>
      <c r="Q24" s="7" t="s">
        <v>214</v>
      </c>
      <c r="S24" s="7">
        <v>100.0</v>
      </c>
      <c r="T24" s="7" t="s">
        <v>15</v>
      </c>
    </row>
    <row r="25">
      <c r="A25" s="7" t="s">
        <v>215</v>
      </c>
      <c r="B25" s="7">
        <v>0.07797</v>
      </c>
      <c r="C25" s="7">
        <v>100.0</v>
      </c>
      <c r="D25" s="7" t="s">
        <v>15</v>
      </c>
      <c r="E25" s="7" t="s">
        <v>215</v>
      </c>
      <c r="F25" s="7">
        <v>1.83044</v>
      </c>
      <c r="G25" s="7">
        <v>100.0</v>
      </c>
      <c r="H25" s="7" t="s">
        <v>15</v>
      </c>
      <c r="I25" s="7" t="s">
        <v>215</v>
      </c>
      <c r="J25" s="7">
        <v>1.63247</v>
      </c>
      <c r="K25" s="7">
        <v>100.0</v>
      </c>
      <c r="L25" s="7" t="s">
        <v>15</v>
      </c>
      <c r="M25" s="7" t="s">
        <v>215</v>
      </c>
      <c r="O25" s="7">
        <v>100.0</v>
      </c>
      <c r="P25" s="7" t="s">
        <v>15</v>
      </c>
      <c r="Q25" s="7" t="s">
        <v>215</v>
      </c>
      <c r="S25" s="7">
        <v>100.0</v>
      </c>
      <c r="T25" s="7" t="s">
        <v>15</v>
      </c>
    </row>
    <row r="26">
      <c r="A26" s="7" t="s">
        <v>216</v>
      </c>
      <c r="B26" s="7">
        <v>0.05832</v>
      </c>
      <c r="C26" s="7">
        <v>100.0</v>
      </c>
      <c r="D26" s="7" t="s">
        <v>15</v>
      </c>
      <c r="E26" s="7" t="s">
        <v>216</v>
      </c>
      <c r="F26" s="7">
        <v>1.92616</v>
      </c>
      <c r="G26" s="7">
        <v>100.0</v>
      </c>
      <c r="H26" s="7" t="s">
        <v>15</v>
      </c>
      <c r="I26" s="7" t="s">
        <v>216</v>
      </c>
      <c r="J26" s="7">
        <v>1.84052</v>
      </c>
      <c r="K26" s="7">
        <v>100.0</v>
      </c>
      <c r="L26" s="7" t="s">
        <v>15</v>
      </c>
      <c r="M26" s="7" t="s">
        <v>216</v>
      </c>
      <c r="O26" s="7">
        <v>100.0</v>
      </c>
      <c r="P26" s="7" t="s">
        <v>15</v>
      </c>
      <c r="Q26" s="7" t="s">
        <v>216</v>
      </c>
      <c r="S26" s="7">
        <v>100.0</v>
      </c>
      <c r="T26" s="7" t="s">
        <v>15</v>
      </c>
    </row>
    <row r="27">
      <c r="A27" s="7" t="s">
        <v>217</v>
      </c>
      <c r="B27" s="7">
        <v>0.06928</v>
      </c>
      <c r="C27" s="7">
        <v>100.0</v>
      </c>
      <c r="D27" s="7" t="s">
        <v>15</v>
      </c>
      <c r="E27" s="7" t="s">
        <v>218</v>
      </c>
      <c r="F27" s="7">
        <v>1.7683</v>
      </c>
      <c r="G27" s="7">
        <v>58.06</v>
      </c>
      <c r="H27" s="7" t="s">
        <v>26</v>
      </c>
      <c r="I27" s="7" t="s">
        <v>217</v>
      </c>
      <c r="J27" s="7">
        <v>1.88363</v>
      </c>
      <c r="K27" s="7">
        <v>100.0</v>
      </c>
      <c r="L27" s="7" t="s">
        <v>15</v>
      </c>
      <c r="M27" s="7" t="s">
        <v>217</v>
      </c>
      <c r="O27" s="7">
        <v>100.0</v>
      </c>
      <c r="P27" s="7" t="s">
        <v>15</v>
      </c>
      <c r="Q27" s="7" t="s">
        <v>217</v>
      </c>
      <c r="S27" s="7">
        <v>100.0</v>
      </c>
      <c r="T27" s="7" t="s">
        <v>15</v>
      </c>
    </row>
    <row r="28">
      <c r="A28" s="7" t="s">
        <v>219</v>
      </c>
      <c r="B28" s="7">
        <v>0.07505</v>
      </c>
      <c r="C28" s="7">
        <v>100.0</v>
      </c>
      <c r="D28" s="7" t="s">
        <v>15</v>
      </c>
      <c r="E28" s="7" t="s">
        <v>219</v>
      </c>
      <c r="F28" s="7">
        <v>1.86665</v>
      </c>
      <c r="G28" s="7">
        <v>100.0</v>
      </c>
      <c r="H28" s="7" t="s">
        <v>15</v>
      </c>
      <c r="I28" s="7" t="s">
        <v>219</v>
      </c>
      <c r="J28" s="7">
        <v>1.83247</v>
      </c>
      <c r="K28" s="7">
        <v>100.0</v>
      </c>
      <c r="L28" s="7" t="s">
        <v>15</v>
      </c>
      <c r="M28" s="7" t="s">
        <v>219</v>
      </c>
      <c r="O28" s="7">
        <v>100.0</v>
      </c>
      <c r="P28" s="7" t="s">
        <v>15</v>
      </c>
      <c r="Q28" s="7" t="s">
        <v>219</v>
      </c>
      <c r="S28" s="7">
        <v>100.0</v>
      </c>
      <c r="T28" s="7" t="s">
        <v>15</v>
      </c>
    </row>
    <row r="29">
      <c r="A29" s="7" t="s">
        <v>220</v>
      </c>
      <c r="B29" s="7">
        <v>0.21636</v>
      </c>
      <c r="C29" s="7">
        <v>100.0</v>
      </c>
      <c r="D29" s="7" t="s">
        <v>15</v>
      </c>
      <c r="E29" s="7" t="s">
        <v>220</v>
      </c>
      <c r="F29" s="7">
        <v>1.83363</v>
      </c>
      <c r="G29" s="7">
        <v>100.0</v>
      </c>
      <c r="H29" s="7" t="s">
        <v>15</v>
      </c>
      <c r="I29" s="7" t="s">
        <v>220</v>
      </c>
      <c r="J29" s="7">
        <v>1.71686</v>
      </c>
      <c r="K29" s="7">
        <v>100.0</v>
      </c>
      <c r="L29" s="7" t="s">
        <v>15</v>
      </c>
      <c r="M29" s="7" t="s">
        <v>220</v>
      </c>
      <c r="O29" s="7">
        <v>100.0</v>
      </c>
      <c r="P29" s="7" t="s">
        <v>15</v>
      </c>
      <c r="Q29" s="7" t="s">
        <v>220</v>
      </c>
      <c r="S29" s="7">
        <v>100.0</v>
      </c>
      <c r="T29" s="7" t="s">
        <v>15</v>
      </c>
    </row>
    <row r="30">
      <c r="A30" s="7" t="s">
        <v>221</v>
      </c>
      <c r="B30" s="7">
        <v>0.3158</v>
      </c>
      <c r="C30" s="7">
        <v>95.45</v>
      </c>
      <c r="D30" s="7" t="s">
        <v>26</v>
      </c>
      <c r="E30" s="7" t="s">
        <v>221</v>
      </c>
      <c r="F30" s="7">
        <v>1.83435</v>
      </c>
      <c r="G30" s="7">
        <v>95.45</v>
      </c>
      <c r="H30" s="7" t="s">
        <v>26</v>
      </c>
      <c r="I30" s="7" t="s">
        <v>221</v>
      </c>
      <c r="J30" s="7">
        <v>1.8623</v>
      </c>
      <c r="K30" s="7">
        <v>95.45</v>
      </c>
      <c r="L30" s="7" t="s">
        <v>26</v>
      </c>
      <c r="M30" s="7" t="s">
        <v>221</v>
      </c>
      <c r="O30" s="7">
        <v>95.45</v>
      </c>
      <c r="P30" s="7" t="s">
        <v>26</v>
      </c>
      <c r="Q30" s="7" t="s">
        <v>221</v>
      </c>
      <c r="S30" s="7">
        <v>95.45</v>
      </c>
      <c r="T30" s="7" t="s">
        <v>26</v>
      </c>
    </row>
    <row r="31">
      <c r="A31" s="7" t="s">
        <v>222</v>
      </c>
      <c r="B31" s="7">
        <v>0.04378</v>
      </c>
      <c r="C31" s="7">
        <v>100.0</v>
      </c>
      <c r="D31" s="7" t="s">
        <v>15</v>
      </c>
      <c r="E31" s="7" t="s">
        <v>222</v>
      </c>
      <c r="F31" s="7">
        <v>1.92595</v>
      </c>
      <c r="G31" s="7">
        <v>100.0</v>
      </c>
      <c r="H31" s="7" t="s">
        <v>15</v>
      </c>
      <c r="I31" s="7" t="s">
        <v>222</v>
      </c>
      <c r="J31" s="7">
        <v>1.90639</v>
      </c>
      <c r="K31" s="7">
        <v>100.0</v>
      </c>
      <c r="L31" s="7" t="s">
        <v>15</v>
      </c>
      <c r="M31" s="7" t="s">
        <v>222</v>
      </c>
      <c r="O31" s="7">
        <v>100.0</v>
      </c>
      <c r="P31" s="7" t="s">
        <v>15</v>
      </c>
      <c r="Q31" s="7" t="s">
        <v>222</v>
      </c>
      <c r="S31" s="7">
        <v>100.0</v>
      </c>
      <c r="T31" s="7" t="s">
        <v>15</v>
      </c>
    </row>
    <row r="32">
      <c r="A32" s="7" t="s">
        <v>223</v>
      </c>
      <c r="B32" s="7">
        <v>0.07801</v>
      </c>
      <c r="C32" s="7">
        <v>75.56</v>
      </c>
      <c r="D32" s="7" t="s">
        <v>26</v>
      </c>
      <c r="E32" s="7" t="s">
        <v>223</v>
      </c>
      <c r="F32" s="7">
        <v>1.79631</v>
      </c>
      <c r="G32" s="7">
        <v>75.56</v>
      </c>
      <c r="H32" s="7" t="s">
        <v>26</v>
      </c>
      <c r="I32" s="7" t="s">
        <v>224</v>
      </c>
      <c r="J32" s="7">
        <v>1.8752</v>
      </c>
      <c r="K32" s="7">
        <v>69.23</v>
      </c>
      <c r="L32" s="7" t="s">
        <v>26</v>
      </c>
      <c r="M32" s="7" t="s">
        <v>225</v>
      </c>
      <c r="O32" s="7">
        <v>75.56</v>
      </c>
      <c r="P32" s="7" t="s">
        <v>26</v>
      </c>
      <c r="Q32" s="7" t="s">
        <v>226</v>
      </c>
      <c r="S32" s="7">
        <v>71.11</v>
      </c>
      <c r="T32" s="7" t="s">
        <v>26</v>
      </c>
    </row>
    <row r="33">
      <c r="A33" s="7" t="s">
        <v>227</v>
      </c>
      <c r="B33" s="7">
        <v>0.08019</v>
      </c>
      <c r="C33" s="7">
        <v>75.56</v>
      </c>
      <c r="D33" s="7" t="s">
        <v>26</v>
      </c>
      <c r="E33" s="7" t="s">
        <v>227</v>
      </c>
      <c r="F33" s="7">
        <v>1.7976</v>
      </c>
      <c r="G33" s="7">
        <v>75.56</v>
      </c>
      <c r="H33" s="7" t="s">
        <v>26</v>
      </c>
      <c r="I33" s="7" t="s">
        <v>228</v>
      </c>
      <c r="J33" s="7">
        <v>2.12709</v>
      </c>
      <c r="K33" s="7">
        <v>69.23</v>
      </c>
      <c r="L33" s="7" t="s">
        <v>26</v>
      </c>
      <c r="M33" s="7" t="s">
        <v>229</v>
      </c>
      <c r="O33" s="7">
        <v>75.56</v>
      </c>
      <c r="P33" s="7" t="s">
        <v>26</v>
      </c>
      <c r="Q33" s="7" t="s">
        <v>230</v>
      </c>
      <c r="S33" s="7">
        <v>71.11</v>
      </c>
      <c r="T33" s="7" t="s">
        <v>26</v>
      </c>
    </row>
    <row r="34">
      <c r="A34" s="7" t="s">
        <v>231</v>
      </c>
      <c r="B34" s="7">
        <v>0.07476</v>
      </c>
      <c r="C34" s="7">
        <v>69.23</v>
      </c>
      <c r="D34" s="7" t="s">
        <v>26</v>
      </c>
      <c r="E34" s="7" t="s">
        <v>232</v>
      </c>
      <c r="F34" s="7">
        <v>2.09738</v>
      </c>
      <c r="G34" s="7">
        <v>70.59</v>
      </c>
      <c r="H34" s="7" t="s">
        <v>26</v>
      </c>
      <c r="I34" s="7" t="s">
        <v>232</v>
      </c>
      <c r="J34" s="7">
        <v>1.88049</v>
      </c>
      <c r="K34" s="7">
        <v>70.59</v>
      </c>
      <c r="L34" s="7" t="s">
        <v>26</v>
      </c>
      <c r="M34" s="7" t="s">
        <v>232</v>
      </c>
      <c r="O34" s="7">
        <v>70.59</v>
      </c>
      <c r="P34" s="7" t="s">
        <v>26</v>
      </c>
      <c r="Q34" s="7" t="s">
        <v>233</v>
      </c>
      <c r="S34" s="7">
        <v>66.67</v>
      </c>
      <c r="T34" s="7" t="s">
        <v>26</v>
      </c>
    </row>
    <row r="35">
      <c r="A35" s="7" t="s">
        <v>234</v>
      </c>
      <c r="B35" s="7">
        <v>0.05137</v>
      </c>
      <c r="C35" s="7">
        <v>61.82</v>
      </c>
      <c r="D35" s="7" t="s">
        <v>26</v>
      </c>
      <c r="E35" s="7" t="s">
        <v>234</v>
      </c>
      <c r="F35" s="7">
        <v>2.06448</v>
      </c>
      <c r="G35" s="7">
        <v>61.82</v>
      </c>
      <c r="H35" s="7" t="s">
        <v>26</v>
      </c>
      <c r="I35" s="7" t="s">
        <v>234</v>
      </c>
      <c r="J35" s="7">
        <v>1.98073</v>
      </c>
      <c r="K35" s="7">
        <v>61.82</v>
      </c>
      <c r="L35" s="7" t="s">
        <v>26</v>
      </c>
      <c r="M35" s="7" t="s">
        <v>235</v>
      </c>
      <c r="O35" s="7">
        <v>61.82</v>
      </c>
      <c r="P35" s="7" t="s">
        <v>26</v>
      </c>
      <c r="Q35" s="7" t="s">
        <v>236</v>
      </c>
      <c r="S35" s="7">
        <v>76.36</v>
      </c>
      <c r="T35" s="7" t="s">
        <v>26</v>
      </c>
    </row>
    <row r="36">
      <c r="A36" s="7" t="s">
        <v>237</v>
      </c>
      <c r="B36" s="7">
        <v>0.07645</v>
      </c>
      <c r="C36" s="7">
        <v>100.0</v>
      </c>
      <c r="D36" s="7" t="s">
        <v>15</v>
      </c>
      <c r="E36" s="7" t="s">
        <v>237</v>
      </c>
      <c r="F36" s="7">
        <v>1.90749</v>
      </c>
      <c r="G36" s="7">
        <v>100.0</v>
      </c>
      <c r="H36" s="7" t="s">
        <v>15</v>
      </c>
      <c r="I36" s="7" t="s">
        <v>237</v>
      </c>
      <c r="J36" s="7">
        <v>1.87902</v>
      </c>
      <c r="K36" s="7">
        <v>100.0</v>
      </c>
      <c r="L36" s="7" t="s">
        <v>15</v>
      </c>
      <c r="M36" s="7" t="s">
        <v>237</v>
      </c>
      <c r="O36" s="7">
        <v>100.0</v>
      </c>
      <c r="P36" s="7" t="s">
        <v>15</v>
      </c>
      <c r="Q36" s="7" t="s">
        <v>237</v>
      </c>
      <c r="S36" s="7">
        <v>100.0</v>
      </c>
      <c r="T36" s="7" t="s">
        <v>15</v>
      </c>
    </row>
    <row r="37">
      <c r="A37" s="7" t="s">
        <v>238</v>
      </c>
      <c r="B37" s="7">
        <v>0.06997</v>
      </c>
      <c r="C37" s="7">
        <v>71.11</v>
      </c>
      <c r="D37" s="7" t="s">
        <v>26</v>
      </c>
      <c r="E37" s="7" t="s">
        <v>238</v>
      </c>
      <c r="F37" s="7">
        <v>1.83672</v>
      </c>
      <c r="G37" s="7">
        <v>71.11</v>
      </c>
      <c r="H37" s="7" t="s">
        <v>26</v>
      </c>
      <c r="I37" s="7" t="s">
        <v>239</v>
      </c>
      <c r="J37" s="7">
        <v>1.84578</v>
      </c>
      <c r="K37" s="7">
        <v>71.11</v>
      </c>
      <c r="L37" s="7" t="s">
        <v>26</v>
      </c>
      <c r="M37" s="7" t="s">
        <v>239</v>
      </c>
      <c r="O37" s="7">
        <v>71.11</v>
      </c>
      <c r="P37" s="7" t="s">
        <v>26</v>
      </c>
      <c r="Q37" s="7" t="s">
        <v>240</v>
      </c>
      <c r="S37" s="7">
        <v>71.11</v>
      </c>
      <c r="T37" s="7" t="s">
        <v>26</v>
      </c>
    </row>
    <row r="38">
      <c r="A38" s="7" t="s">
        <v>241</v>
      </c>
      <c r="B38" s="7">
        <v>0.08813</v>
      </c>
      <c r="C38" s="7">
        <v>61.82</v>
      </c>
      <c r="D38" s="7" t="s">
        <v>26</v>
      </c>
      <c r="E38" s="7" t="s">
        <v>242</v>
      </c>
      <c r="F38" s="7">
        <v>1.90424</v>
      </c>
      <c r="G38" s="7">
        <v>62.07</v>
      </c>
      <c r="H38" s="7" t="s">
        <v>26</v>
      </c>
      <c r="I38" s="7" t="s">
        <v>243</v>
      </c>
      <c r="J38" s="7">
        <v>1.83653</v>
      </c>
      <c r="K38" s="7">
        <v>62.07</v>
      </c>
      <c r="L38" s="7" t="s">
        <v>26</v>
      </c>
      <c r="M38" s="7" t="s">
        <v>242</v>
      </c>
      <c r="O38" s="7">
        <v>62.07</v>
      </c>
      <c r="P38" s="7" t="s">
        <v>26</v>
      </c>
      <c r="Q38" s="7" t="s">
        <v>242</v>
      </c>
      <c r="S38" s="7">
        <v>62.07</v>
      </c>
      <c r="T38" s="7" t="s">
        <v>26</v>
      </c>
    </row>
    <row r="39">
      <c r="A39" s="7" t="s">
        <v>244</v>
      </c>
      <c r="B39" s="7">
        <v>0.07675</v>
      </c>
      <c r="C39" s="7">
        <v>60.38</v>
      </c>
      <c r="D39" s="7" t="s">
        <v>26</v>
      </c>
      <c r="E39" s="7" t="s">
        <v>245</v>
      </c>
      <c r="F39" s="7">
        <v>2.05316</v>
      </c>
      <c r="G39" s="7">
        <v>60.71</v>
      </c>
      <c r="H39" s="7" t="s">
        <v>26</v>
      </c>
      <c r="I39" s="7" t="s">
        <v>246</v>
      </c>
      <c r="J39" s="7">
        <v>1.87072</v>
      </c>
      <c r="K39" s="7">
        <v>60.71</v>
      </c>
      <c r="L39" s="7" t="s">
        <v>26</v>
      </c>
      <c r="M39" s="7" t="s">
        <v>245</v>
      </c>
      <c r="O39" s="7">
        <v>60.71</v>
      </c>
      <c r="P39" s="7" t="s">
        <v>26</v>
      </c>
      <c r="Q39" s="7" t="s">
        <v>245</v>
      </c>
      <c r="S39" s="7">
        <v>60.71</v>
      </c>
      <c r="T39" s="7" t="s">
        <v>26</v>
      </c>
    </row>
    <row r="40">
      <c r="A40" s="7" t="s">
        <v>247</v>
      </c>
      <c r="B40" s="7">
        <v>0.08424</v>
      </c>
      <c r="C40" s="7">
        <v>64.41</v>
      </c>
      <c r="D40" s="7" t="s">
        <v>26</v>
      </c>
      <c r="E40" s="7" t="s">
        <v>248</v>
      </c>
      <c r="F40" s="7">
        <v>2.10065</v>
      </c>
      <c r="G40" s="7">
        <v>64.52</v>
      </c>
      <c r="H40" s="7" t="s">
        <v>26</v>
      </c>
      <c r="I40" s="7" t="s">
        <v>248</v>
      </c>
      <c r="J40" s="7">
        <v>2.35704</v>
      </c>
      <c r="K40" s="7">
        <v>64.52</v>
      </c>
      <c r="L40" s="7" t="s">
        <v>26</v>
      </c>
      <c r="M40" s="7" t="s">
        <v>248</v>
      </c>
      <c r="O40" s="7">
        <v>64.52</v>
      </c>
      <c r="P40" s="7" t="s">
        <v>26</v>
      </c>
      <c r="Q40" s="7" t="s">
        <v>248</v>
      </c>
      <c r="S40" s="7">
        <v>64.52</v>
      </c>
      <c r="T40" s="7" t="s">
        <v>26</v>
      </c>
    </row>
    <row r="41">
      <c r="A41" s="7" t="s">
        <v>249</v>
      </c>
      <c r="B41" s="7">
        <v>0.1115</v>
      </c>
      <c r="C41" s="7">
        <v>43.48</v>
      </c>
      <c r="D41" s="7" t="s">
        <v>26</v>
      </c>
      <c r="E41" s="7" t="s">
        <v>250</v>
      </c>
      <c r="F41" s="7">
        <v>1.75156</v>
      </c>
      <c r="G41" s="7">
        <v>71.11</v>
      </c>
      <c r="H41" s="7" t="s">
        <v>26</v>
      </c>
      <c r="I41" s="7" t="s">
        <v>251</v>
      </c>
      <c r="J41" s="7">
        <v>1.897</v>
      </c>
      <c r="K41" s="7">
        <v>88.89</v>
      </c>
      <c r="L41" s="7" t="s">
        <v>26</v>
      </c>
      <c r="M41" s="7" t="s">
        <v>251</v>
      </c>
      <c r="O41" s="7">
        <v>88.89</v>
      </c>
      <c r="P41" s="7" t="s">
        <v>26</v>
      </c>
      <c r="Q41" s="7" t="s">
        <v>252</v>
      </c>
      <c r="S41" s="7">
        <v>90.91</v>
      </c>
      <c r="T41" s="7" t="s">
        <v>26</v>
      </c>
    </row>
    <row r="42">
      <c r="A42" s="7" t="s">
        <v>253</v>
      </c>
      <c r="B42" s="7">
        <v>0.07568</v>
      </c>
      <c r="C42" s="7">
        <v>51.85</v>
      </c>
      <c r="D42" s="7" t="s">
        <v>26</v>
      </c>
      <c r="E42" s="7" t="s">
        <v>254</v>
      </c>
      <c r="F42" s="7">
        <v>2.02514</v>
      </c>
      <c r="G42" s="7">
        <v>73.47</v>
      </c>
      <c r="H42" s="7" t="s">
        <v>26</v>
      </c>
      <c r="I42" s="7" t="s">
        <v>255</v>
      </c>
      <c r="J42" s="7">
        <v>1.90757</v>
      </c>
      <c r="K42" s="7">
        <v>90.0</v>
      </c>
      <c r="L42" s="7" t="s">
        <v>26</v>
      </c>
      <c r="M42" s="7" t="s">
        <v>255</v>
      </c>
      <c r="O42" s="7">
        <v>90.0</v>
      </c>
      <c r="P42" s="7" t="s">
        <v>26</v>
      </c>
      <c r="Q42" s="7" t="s">
        <v>256</v>
      </c>
      <c r="S42" s="7">
        <v>91.89</v>
      </c>
      <c r="T42" s="7" t="s">
        <v>26</v>
      </c>
    </row>
    <row r="43">
      <c r="A43" s="7" t="s">
        <v>257</v>
      </c>
      <c r="B43" s="7">
        <v>0.08742</v>
      </c>
      <c r="C43" s="7">
        <v>51.85</v>
      </c>
      <c r="D43" s="7" t="s">
        <v>26</v>
      </c>
      <c r="E43" s="7" t="s">
        <v>258</v>
      </c>
      <c r="F43" s="7">
        <v>1.85125</v>
      </c>
      <c r="G43" s="7">
        <v>77.55</v>
      </c>
      <c r="H43" s="7" t="s">
        <v>26</v>
      </c>
      <c r="I43" s="7" t="s">
        <v>259</v>
      </c>
      <c r="J43" s="7">
        <v>1.65194</v>
      </c>
      <c r="K43" s="7">
        <v>91.89</v>
      </c>
      <c r="L43" s="7" t="s">
        <v>26</v>
      </c>
      <c r="M43" s="7" t="s">
        <v>260</v>
      </c>
      <c r="O43" s="7">
        <v>90.0</v>
      </c>
      <c r="P43" s="7" t="s">
        <v>26</v>
      </c>
      <c r="Q43" s="7" t="s">
        <v>259</v>
      </c>
      <c r="S43" s="7">
        <v>91.89</v>
      </c>
      <c r="T43" s="7" t="s">
        <v>26</v>
      </c>
    </row>
    <row r="44">
      <c r="A44" s="7" t="s">
        <v>261</v>
      </c>
      <c r="B44" s="7">
        <v>0.0612</v>
      </c>
      <c r="C44" s="7">
        <v>85.71</v>
      </c>
      <c r="D44" s="7" t="s">
        <v>26</v>
      </c>
      <c r="E44" s="7" t="s">
        <v>262</v>
      </c>
      <c r="F44" s="7">
        <v>2.02863</v>
      </c>
      <c r="G44" s="7">
        <v>87.8</v>
      </c>
      <c r="H44" s="7" t="s">
        <v>26</v>
      </c>
      <c r="I44" s="7" t="s">
        <v>262</v>
      </c>
      <c r="J44" s="7">
        <v>1.92116</v>
      </c>
      <c r="K44" s="7">
        <v>87.8</v>
      </c>
      <c r="L44" s="7" t="s">
        <v>26</v>
      </c>
      <c r="M44" s="7" t="s">
        <v>262</v>
      </c>
      <c r="O44" s="7">
        <v>87.8</v>
      </c>
      <c r="P44" s="7" t="s">
        <v>26</v>
      </c>
      <c r="Q44" s="7" t="s">
        <v>262</v>
      </c>
      <c r="S44" s="7">
        <v>87.8</v>
      </c>
      <c r="T44" s="7" t="s">
        <v>26</v>
      </c>
    </row>
    <row r="45">
      <c r="A45" s="7" t="s">
        <v>263</v>
      </c>
      <c r="B45" s="7">
        <v>0.05248</v>
      </c>
      <c r="C45" s="7">
        <v>85.71</v>
      </c>
      <c r="D45" s="7" t="s">
        <v>26</v>
      </c>
      <c r="E45" s="7" t="s">
        <v>264</v>
      </c>
      <c r="F45" s="7">
        <v>1.79868</v>
      </c>
      <c r="G45" s="7">
        <v>87.8</v>
      </c>
      <c r="H45" s="7" t="s">
        <v>26</v>
      </c>
      <c r="I45" s="7" t="s">
        <v>264</v>
      </c>
      <c r="J45" s="7">
        <v>2.03112</v>
      </c>
      <c r="K45" s="7">
        <v>87.8</v>
      </c>
      <c r="L45" s="7" t="s">
        <v>26</v>
      </c>
      <c r="M45" s="7" t="s">
        <v>264</v>
      </c>
      <c r="O45" s="7">
        <v>87.8</v>
      </c>
      <c r="P45" s="7" t="s">
        <v>26</v>
      </c>
      <c r="Q45" s="7" t="s">
        <v>264</v>
      </c>
      <c r="S45" s="7">
        <v>87.8</v>
      </c>
      <c r="T45" s="7" t="s">
        <v>26</v>
      </c>
    </row>
    <row r="46">
      <c r="A46" s="7" t="s">
        <v>265</v>
      </c>
      <c r="B46" s="7">
        <v>0.23968</v>
      </c>
      <c r="C46" s="7">
        <v>83.33</v>
      </c>
      <c r="D46" s="7" t="s">
        <v>26</v>
      </c>
      <c r="E46" s="7" t="s">
        <v>266</v>
      </c>
      <c r="F46" s="7">
        <v>1.63665</v>
      </c>
      <c r="G46" s="7">
        <v>85.71</v>
      </c>
      <c r="H46" s="7" t="s">
        <v>26</v>
      </c>
      <c r="I46" s="7" t="s">
        <v>266</v>
      </c>
      <c r="J46" s="7">
        <v>2.15163</v>
      </c>
      <c r="K46" s="7">
        <v>85.71</v>
      </c>
      <c r="L46" s="7" t="s">
        <v>26</v>
      </c>
      <c r="M46" s="7" t="s">
        <v>266</v>
      </c>
      <c r="O46" s="7">
        <v>85.71</v>
      </c>
      <c r="P46" s="7" t="s">
        <v>26</v>
      </c>
      <c r="Q46" s="7" t="s">
        <v>266</v>
      </c>
      <c r="S46" s="7">
        <v>85.71</v>
      </c>
      <c r="T46" s="7" t="s">
        <v>26</v>
      </c>
    </row>
    <row r="47">
      <c r="A47" s="7" t="s">
        <v>267</v>
      </c>
      <c r="B47" s="7">
        <v>0.07318</v>
      </c>
      <c r="C47" s="7">
        <v>86.96</v>
      </c>
      <c r="D47" s="7" t="s">
        <v>26</v>
      </c>
      <c r="E47" s="7" t="s">
        <v>268</v>
      </c>
      <c r="F47" s="7">
        <v>1.87317</v>
      </c>
      <c r="G47" s="7">
        <v>88.89</v>
      </c>
      <c r="H47" s="7" t="s">
        <v>26</v>
      </c>
      <c r="I47" s="7" t="s">
        <v>268</v>
      </c>
      <c r="J47" s="7">
        <v>1.73998</v>
      </c>
      <c r="K47" s="7">
        <v>88.89</v>
      </c>
      <c r="L47" s="7" t="s">
        <v>26</v>
      </c>
      <c r="M47" s="7" t="s">
        <v>268</v>
      </c>
      <c r="O47" s="7">
        <v>88.89</v>
      </c>
      <c r="P47" s="7" t="s">
        <v>26</v>
      </c>
      <c r="Q47" s="7" t="s">
        <v>268</v>
      </c>
      <c r="S47" s="7">
        <v>88.89</v>
      </c>
      <c r="T47" s="7" t="s">
        <v>26</v>
      </c>
    </row>
    <row r="48">
      <c r="A48" s="7" t="s">
        <v>269</v>
      </c>
      <c r="B48" s="7">
        <v>0.06037</v>
      </c>
      <c r="C48" s="7">
        <v>85.71</v>
      </c>
      <c r="D48" s="7" t="s">
        <v>26</v>
      </c>
      <c r="E48" s="7" t="s">
        <v>270</v>
      </c>
      <c r="F48" s="7">
        <v>2.42543</v>
      </c>
      <c r="G48" s="7">
        <v>87.8</v>
      </c>
      <c r="H48" s="7" t="s">
        <v>26</v>
      </c>
      <c r="I48" s="7" t="s">
        <v>270</v>
      </c>
      <c r="J48" s="7">
        <v>1.73104</v>
      </c>
      <c r="K48" s="7">
        <v>87.8</v>
      </c>
      <c r="L48" s="7" t="s">
        <v>26</v>
      </c>
      <c r="M48" s="7" t="s">
        <v>270</v>
      </c>
      <c r="O48" s="7">
        <v>87.8</v>
      </c>
      <c r="P48" s="7" t="s">
        <v>26</v>
      </c>
      <c r="Q48" s="7" t="s">
        <v>270</v>
      </c>
      <c r="S48" s="7">
        <v>87.8</v>
      </c>
      <c r="T48" s="7" t="s">
        <v>26</v>
      </c>
    </row>
    <row r="49">
      <c r="A49" s="7" t="s">
        <v>271</v>
      </c>
      <c r="B49" s="7">
        <v>0.21038</v>
      </c>
      <c r="C49" s="7">
        <v>86.36</v>
      </c>
      <c r="D49" s="7" t="s">
        <v>26</v>
      </c>
      <c r="E49" s="7" t="s">
        <v>272</v>
      </c>
      <c r="F49" s="7">
        <v>2.25143</v>
      </c>
      <c r="G49" s="7">
        <v>88.37</v>
      </c>
      <c r="H49" s="7" t="s">
        <v>26</v>
      </c>
      <c r="I49" s="7" t="s">
        <v>272</v>
      </c>
      <c r="J49" s="7">
        <v>1.76988</v>
      </c>
      <c r="K49" s="7">
        <v>88.37</v>
      </c>
      <c r="L49" s="7" t="s">
        <v>26</v>
      </c>
      <c r="M49" s="7" t="s">
        <v>272</v>
      </c>
      <c r="O49" s="7">
        <v>88.37</v>
      </c>
      <c r="P49" s="7" t="s">
        <v>26</v>
      </c>
      <c r="Q49" s="7" t="s">
        <v>272</v>
      </c>
      <c r="S49" s="7">
        <v>88.37</v>
      </c>
      <c r="T49" s="7" t="s">
        <v>26</v>
      </c>
    </row>
    <row r="50">
      <c r="A50" s="7" t="s">
        <v>74</v>
      </c>
      <c r="B50" s="7">
        <v>0.05583</v>
      </c>
      <c r="C50" s="7">
        <v>100.0</v>
      </c>
      <c r="D50" s="7" t="s">
        <v>15</v>
      </c>
      <c r="E50" s="7" t="s">
        <v>74</v>
      </c>
      <c r="F50" s="7">
        <v>1.7666</v>
      </c>
      <c r="G50" s="7">
        <v>100.0</v>
      </c>
      <c r="H50" s="7" t="s">
        <v>15</v>
      </c>
      <c r="I50" s="7" t="s">
        <v>74</v>
      </c>
      <c r="J50" s="7">
        <v>2.263</v>
      </c>
      <c r="K50" s="7">
        <v>100.0</v>
      </c>
      <c r="L50" s="7" t="s">
        <v>15</v>
      </c>
      <c r="M50" s="7" t="s">
        <v>74</v>
      </c>
      <c r="O50" s="7">
        <v>100.0</v>
      </c>
      <c r="P50" s="7" t="s">
        <v>15</v>
      </c>
      <c r="Q50" s="7" t="s">
        <v>74</v>
      </c>
      <c r="S50" s="7">
        <v>100.0</v>
      </c>
      <c r="T50" s="7" t="s">
        <v>15</v>
      </c>
    </row>
    <row r="51">
      <c r="A51" s="7" t="s">
        <v>273</v>
      </c>
      <c r="B51" s="7">
        <v>0.05784</v>
      </c>
      <c r="C51" s="7">
        <v>84.21</v>
      </c>
      <c r="D51" s="7" t="s">
        <v>26</v>
      </c>
      <c r="E51" s="7" t="s">
        <v>274</v>
      </c>
      <c r="F51" s="7">
        <v>1.97818</v>
      </c>
      <c r="G51" s="7">
        <v>52.63</v>
      </c>
      <c r="H51" s="7" t="s">
        <v>26</v>
      </c>
      <c r="I51" s="7" t="s">
        <v>274</v>
      </c>
      <c r="J51" s="7">
        <v>1.8016</v>
      </c>
      <c r="K51" s="7">
        <v>52.63</v>
      </c>
      <c r="L51" s="7" t="s">
        <v>26</v>
      </c>
      <c r="M51" s="7" t="s">
        <v>274</v>
      </c>
      <c r="O51" s="7">
        <v>52.63</v>
      </c>
      <c r="P51" s="7" t="s">
        <v>26</v>
      </c>
      <c r="Q51" s="7" t="s">
        <v>274</v>
      </c>
      <c r="S51" s="7">
        <v>52.63</v>
      </c>
      <c r="T51" s="7" t="s">
        <v>26</v>
      </c>
    </row>
    <row r="52">
      <c r="A52" s="7" t="s">
        <v>275</v>
      </c>
      <c r="B52" s="7">
        <v>0.0743</v>
      </c>
      <c r="C52" s="7">
        <v>82.35</v>
      </c>
      <c r="D52" s="7" t="s">
        <v>26</v>
      </c>
      <c r="E52" s="7" t="s">
        <v>276</v>
      </c>
      <c r="F52" s="7">
        <v>2.02045</v>
      </c>
      <c r="G52" s="7">
        <v>47.06</v>
      </c>
      <c r="H52" s="7" t="s">
        <v>26</v>
      </c>
      <c r="I52" s="7" t="s">
        <v>277</v>
      </c>
      <c r="J52" s="7">
        <v>1.90278</v>
      </c>
      <c r="K52" s="7">
        <v>40.0</v>
      </c>
      <c r="L52" s="7" t="s">
        <v>26</v>
      </c>
      <c r="M52" s="7" t="s">
        <v>276</v>
      </c>
      <c r="O52" s="7">
        <v>47.06</v>
      </c>
      <c r="P52" s="7" t="s">
        <v>26</v>
      </c>
      <c r="Q52" s="7" t="s">
        <v>276</v>
      </c>
      <c r="S52" s="7">
        <v>47.06</v>
      </c>
      <c r="T52" s="7" t="s">
        <v>26</v>
      </c>
    </row>
    <row r="53">
      <c r="A53" s="7" t="s">
        <v>278</v>
      </c>
      <c r="B53" s="7">
        <v>0.41005</v>
      </c>
      <c r="C53" s="7">
        <v>88.89</v>
      </c>
      <c r="D53" s="7" t="s">
        <v>26</v>
      </c>
      <c r="E53" s="7" t="s">
        <v>279</v>
      </c>
      <c r="F53" s="7">
        <v>2.00819</v>
      </c>
      <c r="G53" s="7">
        <v>51.85</v>
      </c>
      <c r="H53" s="7" t="s">
        <v>26</v>
      </c>
      <c r="I53" s="7" t="s">
        <v>280</v>
      </c>
      <c r="J53" s="7">
        <v>1.98238</v>
      </c>
      <c r="K53" s="7">
        <v>35.0</v>
      </c>
      <c r="L53" s="7" t="s">
        <v>99</v>
      </c>
      <c r="M53" s="7" t="s">
        <v>279</v>
      </c>
      <c r="O53" s="7">
        <v>51.85</v>
      </c>
      <c r="P53" s="7" t="s">
        <v>26</v>
      </c>
      <c r="Q53" s="7" t="s">
        <v>281</v>
      </c>
      <c r="S53" s="7">
        <v>42.11</v>
      </c>
      <c r="T53" s="7" t="s">
        <v>26</v>
      </c>
    </row>
    <row r="54">
      <c r="A54" s="7" t="s">
        <v>282</v>
      </c>
      <c r="B54" s="7">
        <v>0.08456</v>
      </c>
      <c r="C54" s="7">
        <v>88.0</v>
      </c>
      <c r="D54" s="7" t="s">
        <v>26</v>
      </c>
      <c r="E54" s="7" t="s">
        <v>283</v>
      </c>
      <c r="F54" s="7">
        <v>1.80409</v>
      </c>
      <c r="G54" s="7">
        <v>56.0</v>
      </c>
      <c r="H54" s="7" t="s">
        <v>26</v>
      </c>
      <c r="I54" s="7" t="s">
        <v>284</v>
      </c>
      <c r="J54" s="7">
        <v>3.32424</v>
      </c>
      <c r="K54" s="7">
        <v>43.75</v>
      </c>
      <c r="L54" s="7" t="s">
        <v>99</v>
      </c>
      <c r="M54" s="7" t="s">
        <v>283</v>
      </c>
      <c r="O54" s="7">
        <v>56.0</v>
      </c>
      <c r="P54" s="7" t="s">
        <v>26</v>
      </c>
      <c r="Q54" s="7" t="s">
        <v>283</v>
      </c>
      <c r="S54" s="7">
        <v>56.0</v>
      </c>
      <c r="T54" s="7" t="s">
        <v>26</v>
      </c>
    </row>
    <row r="55">
      <c r="A55" s="7" t="s">
        <v>285</v>
      </c>
      <c r="B55" s="7">
        <v>0.07094</v>
      </c>
      <c r="C55" s="7">
        <v>90.91</v>
      </c>
      <c r="D55" s="7" t="s">
        <v>26</v>
      </c>
      <c r="E55" s="7" t="s">
        <v>286</v>
      </c>
      <c r="F55" s="7">
        <v>1.94472</v>
      </c>
      <c r="G55" s="7">
        <v>66.67</v>
      </c>
      <c r="H55" s="7" t="s">
        <v>26</v>
      </c>
      <c r="I55" s="7" t="s">
        <v>286</v>
      </c>
      <c r="J55" s="7">
        <v>2.14441</v>
      </c>
      <c r="K55" s="7">
        <v>66.67</v>
      </c>
      <c r="L55" s="7" t="s">
        <v>26</v>
      </c>
      <c r="M55" s="7" t="s">
        <v>286</v>
      </c>
      <c r="O55" s="7">
        <v>66.67</v>
      </c>
      <c r="P55" s="7" t="s">
        <v>26</v>
      </c>
      <c r="Q55" s="7" t="s">
        <v>286</v>
      </c>
      <c r="S55" s="7">
        <v>66.67</v>
      </c>
      <c r="T55" s="7" t="s">
        <v>26</v>
      </c>
    </row>
    <row r="56">
      <c r="A56" s="7" t="s">
        <v>287</v>
      </c>
      <c r="B56" s="7">
        <v>0.07789</v>
      </c>
      <c r="C56" s="7">
        <v>42.11</v>
      </c>
      <c r="D56" s="7" t="s">
        <v>26</v>
      </c>
      <c r="E56" s="7" t="s">
        <v>288</v>
      </c>
      <c r="F56" s="7">
        <v>1.98962</v>
      </c>
      <c r="G56" s="7">
        <v>93.33</v>
      </c>
      <c r="H56" s="7" t="s">
        <v>26</v>
      </c>
      <c r="I56" s="7" t="s">
        <v>289</v>
      </c>
      <c r="J56" s="7">
        <v>1.63785</v>
      </c>
      <c r="K56" s="7">
        <v>64.52</v>
      </c>
      <c r="L56" s="7" t="s">
        <v>26</v>
      </c>
      <c r="M56" s="7" t="s">
        <v>288</v>
      </c>
      <c r="O56" s="7">
        <v>93.33</v>
      </c>
      <c r="P56" s="7" t="s">
        <v>26</v>
      </c>
      <c r="Q56" s="7" t="s">
        <v>288</v>
      </c>
      <c r="S56" s="7">
        <v>93.33</v>
      </c>
      <c r="T56" s="7" t="s">
        <v>26</v>
      </c>
    </row>
    <row r="57">
      <c r="A57" s="7" t="s">
        <v>287</v>
      </c>
      <c r="B57" s="7">
        <v>0.07252</v>
      </c>
      <c r="C57" s="7">
        <v>38.1</v>
      </c>
      <c r="D57" s="7" t="s">
        <v>26</v>
      </c>
      <c r="E57" s="7" t="s">
        <v>290</v>
      </c>
      <c r="F57" s="7">
        <v>1.8946</v>
      </c>
      <c r="G57" s="7">
        <v>80.0</v>
      </c>
      <c r="H57" s="7" t="s">
        <v>26</v>
      </c>
      <c r="I57" s="7" t="s">
        <v>290</v>
      </c>
      <c r="J57" s="7">
        <v>1.64099</v>
      </c>
      <c r="K57" s="7">
        <v>80.0</v>
      </c>
      <c r="L57" s="7" t="s">
        <v>26</v>
      </c>
      <c r="M57" s="7" t="s">
        <v>291</v>
      </c>
      <c r="O57" s="7">
        <v>100.0</v>
      </c>
      <c r="P57" s="7" t="s">
        <v>15</v>
      </c>
      <c r="Q57" s="7" t="s">
        <v>291</v>
      </c>
      <c r="S57" s="7">
        <v>100.0</v>
      </c>
      <c r="T57" s="7" t="s">
        <v>15</v>
      </c>
    </row>
    <row r="58">
      <c r="A58" s="7" t="s">
        <v>292</v>
      </c>
      <c r="B58" s="7">
        <v>0.06791</v>
      </c>
      <c r="C58" s="7">
        <v>37.04</v>
      </c>
      <c r="D58" s="7" t="s">
        <v>26</v>
      </c>
      <c r="E58" s="7" t="s">
        <v>293</v>
      </c>
      <c r="F58" s="7">
        <v>2.0232</v>
      </c>
      <c r="G58" s="7">
        <v>84.44</v>
      </c>
      <c r="H58" s="7" t="s">
        <v>26</v>
      </c>
      <c r="I58" s="7" t="s">
        <v>293</v>
      </c>
      <c r="J58" s="7">
        <v>1.65153</v>
      </c>
      <c r="K58" s="7">
        <v>84.44</v>
      </c>
      <c r="L58" s="7" t="s">
        <v>26</v>
      </c>
      <c r="M58" s="7" t="s">
        <v>294</v>
      </c>
      <c r="O58" s="7">
        <v>100.0</v>
      </c>
      <c r="P58" s="7" t="s">
        <v>15</v>
      </c>
      <c r="Q58" s="7" t="s">
        <v>294</v>
      </c>
      <c r="S58" s="7">
        <v>100.0</v>
      </c>
      <c r="T58" s="7" t="s">
        <v>15</v>
      </c>
    </row>
    <row r="59">
      <c r="A59" s="7" t="s">
        <v>295</v>
      </c>
      <c r="B59" s="7">
        <v>0.06591</v>
      </c>
      <c r="C59" s="7">
        <v>93.33</v>
      </c>
      <c r="D59" s="7" t="s">
        <v>26</v>
      </c>
      <c r="E59" s="7" t="s">
        <v>295</v>
      </c>
      <c r="F59" s="7">
        <v>2.14299</v>
      </c>
      <c r="G59" s="7">
        <v>93.33</v>
      </c>
      <c r="H59" s="7" t="s">
        <v>26</v>
      </c>
      <c r="I59" s="7" t="s">
        <v>296</v>
      </c>
      <c r="J59" s="7">
        <v>1.91536</v>
      </c>
      <c r="K59" s="7">
        <v>66.67</v>
      </c>
      <c r="L59" s="7" t="s">
        <v>26</v>
      </c>
      <c r="M59" s="7" t="s">
        <v>295</v>
      </c>
      <c r="O59" s="7">
        <v>93.33</v>
      </c>
      <c r="P59" s="7" t="s">
        <v>26</v>
      </c>
      <c r="Q59" s="7" t="s">
        <v>295</v>
      </c>
      <c r="S59" s="7">
        <v>93.33</v>
      </c>
      <c r="T59" s="7" t="s">
        <v>26</v>
      </c>
    </row>
    <row r="60">
      <c r="A60" s="7" t="s">
        <v>297</v>
      </c>
      <c r="B60" s="7">
        <v>0.06787</v>
      </c>
      <c r="C60" s="7">
        <v>100.0</v>
      </c>
      <c r="D60" s="7" t="s">
        <v>15</v>
      </c>
      <c r="E60" s="7" t="s">
        <v>297</v>
      </c>
      <c r="F60" s="7">
        <v>1.87353</v>
      </c>
      <c r="G60" s="7">
        <v>100.0</v>
      </c>
      <c r="H60" s="7" t="s">
        <v>15</v>
      </c>
      <c r="I60" s="7" t="s">
        <v>298</v>
      </c>
      <c r="J60" s="7">
        <v>1.76295</v>
      </c>
      <c r="K60" s="7">
        <v>75.0</v>
      </c>
      <c r="L60" s="7" t="s">
        <v>26</v>
      </c>
      <c r="M60" s="7" t="s">
        <v>297</v>
      </c>
      <c r="O60" s="7">
        <v>100.0</v>
      </c>
      <c r="P60" s="7" t="s">
        <v>15</v>
      </c>
      <c r="Q60" s="7" t="s">
        <v>297</v>
      </c>
      <c r="S60" s="7">
        <v>100.0</v>
      </c>
      <c r="T60" s="7" t="s">
        <v>15</v>
      </c>
    </row>
    <row r="61">
      <c r="A61" s="7" t="s">
        <v>299</v>
      </c>
      <c r="B61" s="7">
        <v>0.07612</v>
      </c>
      <c r="C61" s="7">
        <v>71.43</v>
      </c>
      <c r="D61" s="7" t="s">
        <v>26</v>
      </c>
      <c r="E61" s="7" t="s">
        <v>300</v>
      </c>
      <c r="F61" s="7">
        <v>2.05628</v>
      </c>
      <c r="G61" s="7">
        <v>89.8</v>
      </c>
      <c r="H61" s="7" t="s">
        <v>26</v>
      </c>
      <c r="I61" s="7" t="s">
        <v>301</v>
      </c>
      <c r="J61" s="7">
        <v>1.79554</v>
      </c>
      <c r="K61" s="7">
        <v>69.09</v>
      </c>
      <c r="L61" s="7" t="s">
        <v>26</v>
      </c>
      <c r="M61" s="7" t="s">
        <v>302</v>
      </c>
      <c r="O61" s="7">
        <v>100.0</v>
      </c>
      <c r="P61" s="7" t="s">
        <v>15</v>
      </c>
      <c r="Q61" s="7" t="s">
        <v>302</v>
      </c>
      <c r="S61" s="7">
        <v>100.0</v>
      </c>
      <c r="T61" s="7" t="s">
        <v>15</v>
      </c>
    </row>
    <row r="62">
      <c r="A62" s="7" t="s">
        <v>303</v>
      </c>
      <c r="B62" s="7">
        <v>0.09754</v>
      </c>
      <c r="C62" s="7">
        <v>86.67</v>
      </c>
      <c r="D62" s="7" t="s">
        <v>26</v>
      </c>
      <c r="E62" s="7" t="s">
        <v>304</v>
      </c>
      <c r="F62" s="7">
        <v>1.72468</v>
      </c>
      <c r="G62" s="7">
        <v>82.35</v>
      </c>
      <c r="H62" s="7" t="s">
        <v>26</v>
      </c>
      <c r="I62" s="7" t="s">
        <v>304</v>
      </c>
      <c r="J62" s="7">
        <v>1.92783</v>
      </c>
      <c r="K62" s="7">
        <v>82.35</v>
      </c>
      <c r="L62" s="7" t="s">
        <v>26</v>
      </c>
      <c r="M62" s="7" t="s">
        <v>305</v>
      </c>
      <c r="O62" s="7">
        <v>100.0</v>
      </c>
      <c r="P62" s="7" t="s">
        <v>15</v>
      </c>
      <c r="Q62" s="7" t="s">
        <v>304</v>
      </c>
      <c r="S62" s="7">
        <v>82.35</v>
      </c>
      <c r="T62" s="7" t="s">
        <v>26</v>
      </c>
    </row>
    <row r="63">
      <c r="A63" s="7" t="s">
        <v>303</v>
      </c>
      <c r="B63" s="7">
        <v>0.06274</v>
      </c>
      <c r="C63" s="7">
        <v>77.42</v>
      </c>
      <c r="D63" s="7" t="s">
        <v>26</v>
      </c>
      <c r="E63" s="7" t="s">
        <v>306</v>
      </c>
      <c r="F63" s="7">
        <v>2.33591</v>
      </c>
      <c r="G63" s="7">
        <v>83.33</v>
      </c>
      <c r="H63" s="7" t="s">
        <v>26</v>
      </c>
      <c r="I63" s="7" t="s">
        <v>307</v>
      </c>
      <c r="J63" s="7">
        <v>2.02067</v>
      </c>
      <c r="K63" s="7">
        <v>83.33</v>
      </c>
      <c r="L63" s="7" t="s">
        <v>26</v>
      </c>
      <c r="M63" s="7" t="s">
        <v>308</v>
      </c>
      <c r="O63" s="7">
        <v>100.0</v>
      </c>
      <c r="P63" s="7" t="s">
        <v>15</v>
      </c>
      <c r="Q63" s="7" t="s">
        <v>307</v>
      </c>
      <c r="S63" s="7">
        <v>83.33</v>
      </c>
      <c r="T63" s="7" t="s">
        <v>26</v>
      </c>
    </row>
    <row r="64">
      <c r="A64" s="7" t="s">
        <v>303</v>
      </c>
      <c r="B64" s="7">
        <v>0.04522</v>
      </c>
      <c r="C64" s="7">
        <v>68.75</v>
      </c>
      <c r="D64" s="7" t="s">
        <v>26</v>
      </c>
      <c r="E64" s="7" t="s">
        <v>309</v>
      </c>
      <c r="F64" s="7">
        <v>1.89229</v>
      </c>
      <c r="G64" s="7">
        <v>84.21</v>
      </c>
      <c r="H64" s="7" t="s">
        <v>26</v>
      </c>
      <c r="I64" s="7" t="s">
        <v>309</v>
      </c>
      <c r="J64" s="7">
        <v>1.85615</v>
      </c>
      <c r="K64" s="7">
        <v>84.21</v>
      </c>
      <c r="L64" s="7" t="s">
        <v>26</v>
      </c>
      <c r="M64" s="7" t="s">
        <v>310</v>
      </c>
      <c r="O64" s="7">
        <v>100.0</v>
      </c>
      <c r="P64" s="7" t="s">
        <v>15</v>
      </c>
      <c r="Q64" s="7" t="s">
        <v>309</v>
      </c>
      <c r="S64" s="7">
        <v>84.21</v>
      </c>
      <c r="T64" s="7" t="s">
        <v>26</v>
      </c>
    </row>
    <row r="65">
      <c r="A65" s="7" t="s">
        <v>311</v>
      </c>
      <c r="B65" s="7">
        <v>0.07414</v>
      </c>
      <c r="C65" s="7">
        <v>100.0</v>
      </c>
      <c r="D65" s="7" t="s">
        <v>15</v>
      </c>
      <c r="E65" s="7" t="s">
        <v>311</v>
      </c>
      <c r="F65" s="7">
        <v>1.75604</v>
      </c>
      <c r="G65" s="7">
        <v>100.0</v>
      </c>
      <c r="H65" s="7" t="s">
        <v>15</v>
      </c>
      <c r="I65" s="7" t="s">
        <v>311</v>
      </c>
      <c r="J65" s="7">
        <v>1.72259</v>
      </c>
      <c r="K65" s="7">
        <v>100.0</v>
      </c>
      <c r="L65" s="7" t="s">
        <v>15</v>
      </c>
      <c r="M65" s="7" t="s">
        <v>311</v>
      </c>
      <c r="O65" s="7">
        <v>100.0</v>
      </c>
      <c r="P65" s="7" t="s">
        <v>15</v>
      </c>
      <c r="Q65" s="7" t="s">
        <v>311</v>
      </c>
      <c r="S65" s="7">
        <v>100.0</v>
      </c>
      <c r="T65" s="7" t="s">
        <v>15</v>
      </c>
    </row>
    <row r="66">
      <c r="A66" s="7" t="s">
        <v>312</v>
      </c>
      <c r="B66" s="7">
        <v>0.08386</v>
      </c>
      <c r="C66" s="7">
        <v>100.0</v>
      </c>
      <c r="D66" s="7" t="s">
        <v>15</v>
      </c>
      <c r="E66" s="7" t="s">
        <v>312</v>
      </c>
      <c r="F66" s="7">
        <v>1.82756</v>
      </c>
      <c r="G66" s="7">
        <v>100.0</v>
      </c>
      <c r="H66" s="7" t="s">
        <v>15</v>
      </c>
      <c r="I66" s="7" t="s">
        <v>312</v>
      </c>
      <c r="J66" s="7">
        <v>1.88705</v>
      </c>
      <c r="K66" s="7">
        <v>100.0</v>
      </c>
      <c r="L66" s="7" t="s">
        <v>15</v>
      </c>
      <c r="M66" s="7" t="s">
        <v>312</v>
      </c>
      <c r="O66" s="7">
        <v>100.0</v>
      </c>
      <c r="P66" s="7" t="s">
        <v>15</v>
      </c>
      <c r="Q66" s="7" t="s">
        <v>312</v>
      </c>
      <c r="S66" s="7">
        <v>100.0</v>
      </c>
      <c r="T66" s="7" t="s">
        <v>15</v>
      </c>
    </row>
    <row r="67">
      <c r="A67" s="7" t="s">
        <v>313</v>
      </c>
      <c r="B67" s="7">
        <v>0.08856</v>
      </c>
      <c r="C67" s="7">
        <v>100.0</v>
      </c>
      <c r="D67" s="7" t="s">
        <v>15</v>
      </c>
      <c r="E67" s="7" t="s">
        <v>313</v>
      </c>
      <c r="F67" s="7">
        <v>2.12469</v>
      </c>
      <c r="G67" s="7">
        <v>100.0</v>
      </c>
      <c r="H67" s="7" t="s">
        <v>15</v>
      </c>
      <c r="I67" s="7" t="s">
        <v>313</v>
      </c>
      <c r="J67" s="7">
        <v>1.76819</v>
      </c>
      <c r="K67" s="7">
        <v>100.0</v>
      </c>
      <c r="L67" s="7" t="s">
        <v>15</v>
      </c>
      <c r="M67" s="7" t="s">
        <v>313</v>
      </c>
      <c r="O67" s="7">
        <v>100.0</v>
      </c>
      <c r="P67" s="7" t="s">
        <v>15</v>
      </c>
      <c r="Q67" s="7" t="s">
        <v>313</v>
      </c>
      <c r="S67" s="7">
        <v>100.0</v>
      </c>
      <c r="T67" s="7" t="s">
        <v>15</v>
      </c>
    </row>
    <row r="68">
      <c r="A68" s="7" t="s">
        <v>314</v>
      </c>
      <c r="B68" s="7">
        <v>0.07479</v>
      </c>
      <c r="C68" s="7">
        <v>85.0</v>
      </c>
      <c r="D68" s="7" t="s">
        <v>26</v>
      </c>
      <c r="E68" s="7" t="s">
        <v>315</v>
      </c>
      <c r="F68" s="7">
        <v>2.62298</v>
      </c>
      <c r="G68" s="7">
        <v>100.0</v>
      </c>
      <c r="H68" s="7" t="s">
        <v>15</v>
      </c>
      <c r="I68" s="7" t="s">
        <v>316</v>
      </c>
      <c r="J68" s="7">
        <v>1.90857</v>
      </c>
      <c r="K68" s="7">
        <v>76.19</v>
      </c>
      <c r="L68" s="7" t="s">
        <v>26</v>
      </c>
      <c r="M68" s="7" t="s">
        <v>315</v>
      </c>
      <c r="O68" s="7">
        <v>100.0</v>
      </c>
      <c r="P68" s="7" t="s">
        <v>15</v>
      </c>
      <c r="Q68" s="7" t="s">
        <v>315</v>
      </c>
      <c r="S68" s="7">
        <v>100.0</v>
      </c>
      <c r="T68" s="7" t="s">
        <v>15</v>
      </c>
    </row>
    <row r="69">
      <c r="A69" s="7" t="s">
        <v>317</v>
      </c>
      <c r="B69" s="7">
        <v>0.1556</v>
      </c>
      <c r="C69" s="7">
        <v>100.0</v>
      </c>
      <c r="D69" s="7" t="s">
        <v>15</v>
      </c>
      <c r="E69" s="7" t="s">
        <v>317</v>
      </c>
      <c r="F69" s="7">
        <v>1.8371</v>
      </c>
      <c r="G69" s="7">
        <v>100.0</v>
      </c>
      <c r="H69" s="7" t="s">
        <v>15</v>
      </c>
      <c r="I69" s="7" t="s">
        <v>318</v>
      </c>
      <c r="J69" s="7">
        <v>2.02065</v>
      </c>
      <c r="K69" s="7">
        <v>55.17</v>
      </c>
      <c r="L69" s="7" t="s">
        <v>26</v>
      </c>
      <c r="M69" s="7" t="s">
        <v>317</v>
      </c>
      <c r="O69" s="7">
        <v>100.0</v>
      </c>
      <c r="P69" s="7" t="s">
        <v>15</v>
      </c>
      <c r="Q69" s="7" t="s">
        <v>317</v>
      </c>
      <c r="S69" s="7">
        <v>100.0</v>
      </c>
      <c r="T69" s="7" t="s">
        <v>15</v>
      </c>
    </row>
    <row r="70">
      <c r="A70" s="7" t="s">
        <v>319</v>
      </c>
      <c r="B70" s="7">
        <v>0.05543</v>
      </c>
      <c r="C70" s="7">
        <v>85.71</v>
      </c>
      <c r="D70" s="7" t="s">
        <v>26</v>
      </c>
      <c r="E70" s="7" t="s">
        <v>319</v>
      </c>
      <c r="F70" s="7">
        <v>1.7688</v>
      </c>
      <c r="G70" s="7">
        <v>85.71</v>
      </c>
      <c r="H70" s="7" t="s">
        <v>26</v>
      </c>
      <c r="I70" s="7" t="s">
        <v>320</v>
      </c>
      <c r="J70" s="7">
        <v>2.01256</v>
      </c>
      <c r="K70" s="7">
        <v>58.82</v>
      </c>
      <c r="L70" s="7" t="s">
        <v>26</v>
      </c>
      <c r="M70" s="7" t="s">
        <v>321</v>
      </c>
      <c r="O70" s="7">
        <v>100.0</v>
      </c>
      <c r="P70" s="7" t="s">
        <v>15</v>
      </c>
      <c r="Q70" s="7" t="s">
        <v>321</v>
      </c>
      <c r="S70" s="7">
        <v>100.0</v>
      </c>
      <c r="T70" s="7" t="s">
        <v>15</v>
      </c>
    </row>
    <row r="71">
      <c r="A71" s="7" t="s">
        <v>322</v>
      </c>
      <c r="B71" s="7">
        <v>0.05571</v>
      </c>
      <c r="C71" s="7">
        <v>84.85</v>
      </c>
      <c r="D71" s="7" t="s">
        <v>26</v>
      </c>
      <c r="E71" s="7" t="s">
        <v>322</v>
      </c>
      <c r="F71" s="7">
        <v>1.69294</v>
      </c>
      <c r="G71" s="7">
        <v>84.85</v>
      </c>
      <c r="H71" s="7" t="s">
        <v>26</v>
      </c>
      <c r="I71" s="7" t="s">
        <v>323</v>
      </c>
      <c r="J71" s="7">
        <v>3.40391</v>
      </c>
      <c r="K71" s="7">
        <v>56.41</v>
      </c>
      <c r="L71" s="7" t="s">
        <v>26</v>
      </c>
      <c r="M71" s="7" t="s">
        <v>322</v>
      </c>
      <c r="O71" s="7">
        <v>84.85</v>
      </c>
      <c r="P71" s="7" t="s">
        <v>26</v>
      </c>
      <c r="Q71" s="7" t="s">
        <v>322</v>
      </c>
      <c r="S71" s="7">
        <v>84.85</v>
      </c>
      <c r="T71" s="7" t="s">
        <v>26</v>
      </c>
    </row>
    <row r="72">
      <c r="A72" s="7" t="s">
        <v>324</v>
      </c>
      <c r="B72" s="7">
        <v>0.04195</v>
      </c>
      <c r="C72" s="7">
        <v>64.71</v>
      </c>
      <c r="D72" s="7" t="s">
        <v>26</v>
      </c>
      <c r="E72" s="7" t="s">
        <v>325</v>
      </c>
      <c r="F72" s="7">
        <v>2.3657</v>
      </c>
      <c r="G72" s="7">
        <v>95.65</v>
      </c>
      <c r="H72" s="7" t="s">
        <v>26</v>
      </c>
      <c r="I72" s="7" t="s">
        <v>326</v>
      </c>
      <c r="J72" s="7">
        <v>1.6963</v>
      </c>
      <c r="K72" s="7">
        <v>58.33</v>
      </c>
      <c r="L72" s="7" t="s">
        <v>26</v>
      </c>
      <c r="M72" s="7" t="s">
        <v>327</v>
      </c>
      <c r="O72" s="7">
        <v>100.0</v>
      </c>
      <c r="P72" s="7" t="s">
        <v>15</v>
      </c>
      <c r="Q72" s="7" t="s">
        <v>327</v>
      </c>
      <c r="S72" s="7">
        <v>100.0</v>
      </c>
      <c r="T72" s="7" t="s">
        <v>15</v>
      </c>
    </row>
    <row r="73">
      <c r="A73" s="7" t="s">
        <v>328</v>
      </c>
      <c r="B73" s="7">
        <v>0.03353</v>
      </c>
      <c r="C73" s="7">
        <v>82.76</v>
      </c>
      <c r="D73" s="7" t="s">
        <v>26</v>
      </c>
      <c r="E73" s="7" t="s">
        <v>328</v>
      </c>
      <c r="F73" s="7">
        <v>1.99316</v>
      </c>
      <c r="G73" s="7">
        <v>82.76</v>
      </c>
      <c r="H73" s="7" t="s">
        <v>26</v>
      </c>
      <c r="I73" s="7" t="s">
        <v>329</v>
      </c>
      <c r="J73" s="7">
        <v>1.82328</v>
      </c>
      <c r="K73" s="7">
        <v>51.43</v>
      </c>
      <c r="L73" s="7" t="s">
        <v>26</v>
      </c>
      <c r="M73" s="7" t="s">
        <v>328</v>
      </c>
      <c r="O73" s="7">
        <v>82.76</v>
      </c>
      <c r="P73" s="7" t="s">
        <v>26</v>
      </c>
      <c r="Q73" s="7" t="s">
        <v>328</v>
      </c>
      <c r="S73" s="7">
        <v>82.76</v>
      </c>
      <c r="T73" s="7" t="s">
        <v>26</v>
      </c>
    </row>
    <row r="74">
      <c r="A74" s="7" t="s">
        <v>287</v>
      </c>
      <c r="B74" s="7">
        <v>0.03089</v>
      </c>
      <c r="C74" s="7">
        <v>50.0</v>
      </c>
      <c r="D74" s="7" t="s">
        <v>26</v>
      </c>
      <c r="E74" s="7" t="s">
        <v>330</v>
      </c>
      <c r="F74" s="7">
        <v>2.17031</v>
      </c>
      <c r="G74" s="7">
        <v>96.0</v>
      </c>
      <c r="H74" s="7" t="s">
        <v>26</v>
      </c>
      <c r="I74" s="7" t="s">
        <v>330</v>
      </c>
      <c r="J74" s="7">
        <v>1.95131</v>
      </c>
      <c r="K74" s="7">
        <v>96.0</v>
      </c>
      <c r="L74" s="7" t="s">
        <v>26</v>
      </c>
      <c r="M74" s="7" t="s">
        <v>330</v>
      </c>
      <c r="O74" s="7">
        <v>96.0</v>
      </c>
      <c r="P74" s="7" t="s">
        <v>26</v>
      </c>
      <c r="Q74" s="7" t="s">
        <v>330</v>
      </c>
      <c r="S74" s="7">
        <v>96.0</v>
      </c>
      <c r="T74" s="7" t="s">
        <v>26</v>
      </c>
    </row>
    <row r="75">
      <c r="A75" s="7" t="s">
        <v>292</v>
      </c>
      <c r="B75" s="7">
        <v>0.04085</v>
      </c>
      <c r="C75" s="7">
        <v>55.56</v>
      </c>
      <c r="D75" s="7" t="s">
        <v>26</v>
      </c>
      <c r="E75" s="7" t="s">
        <v>331</v>
      </c>
      <c r="F75" s="7">
        <v>2.11481</v>
      </c>
      <c r="G75" s="7">
        <v>100.0</v>
      </c>
      <c r="H75" s="7" t="s">
        <v>15</v>
      </c>
      <c r="I75" s="7" t="s">
        <v>331</v>
      </c>
      <c r="J75" s="7">
        <v>1.74862</v>
      </c>
      <c r="K75" s="7">
        <v>100.0</v>
      </c>
      <c r="L75" s="7" t="s">
        <v>15</v>
      </c>
      <c r="M75" s="7" t="s">
        <v>331</v>
      </c>
      <c r="O75" s="7">
        <v>100.0</v>
      </c>
      <c r="P75" s="7" t="s">
        <v>15</v>
      </c>
      <c r="Q75" s="7" t="s">
        <v>331</v>
      </c>
      <c r="S75" s="7">
        <v>100.0</v>
      </c>
      <c r="T75" s="7" t="s">
        <v>15</v>
      </c>
    </row>
    <row r="76">
      <c r="A76" s="7" t="s">
        <v>287</v>
      </c>
      <c r="B76" s="7">
        <v>0.03309</v>
      </c>
      <c r="C76" s="7">
        <v>53.33</v>
      </c>
      <c r="D76" s="7" t="s">
        <v>26</v>
      </c>
      <c r="E76" s="7" t="s">
        <v>332</v>
      </c>
      <c r="F76" s="7">
        <v>1.83966</v>
      </c>
      <c r="G76" s="7">
        <v>100.0</v>
      </c>
      <c r="H76" s="7" t="s">
        <v>15</v>
      </c>
      <c r="I76" s="7" t="s">
        <v>332</v>
      </c>
      <c r="J76" s="7">
        <v>1.73242</v>
      </c>
      <c r="K76" s="7">
        <v>100.0</v>
      </c>
      <c r="L76" s="7" t="s">
        <v>15</v>
      </c>
      <c r="M76" s="7" t="s">
        <v>332</v>
      </c>
      <c r="O76" s="7">
        <v>100.0</v>
      </c>
      <c r="P76" s="7" t="s">
        <v>15</v>
      </c>
      <c r="Q76" s="7" t="s">
        <v>332</v>
      </c>
      <c r="S76" s="7">
        <v>100.0</v>
      </c>
      <c r="T76" s="7" t="s">
        <v>15</v>
      </c>
    </row>
    <row r="77">
      <c r="A77" s="7" t="s">
        <v>292</v>
      </c>
      <c r="B77" s="7">
        <v>0.0556</v>
      </c>
      <c r="C77" s="7">
        <v>52.63</v>
      </c>
      <c r="D77" s="7" t="s">
        <v>26</v>
      </c>
      <c r="E77" s="7" t="s">
        <v>333</v>
      </c>
      <c r="F77" s="7">
        <v>2.01608</v>
      </c>
      <c r="G77" s="7">
        <v>100.0</v>
      </c>
      <c r="H77" s="7" t="s">
        <v>15</v>
      </c>
      <c r="I77" s="7" t="s">
        <v>333</v>
      </c>
      <c r="J77" s="7">
        <v>1.96436</v>
      </c>
      <c r="K77" s="7">
        <v>100.0</v>
      </c>
      <c r="L77" s="7" t="s">
        <v>15</v>
      </c>
      <c r="M77" s="7" t="s">
        <v>333</v>
      </c>
      <c r="O77" s="7">
        <v>100.0</v>
      </c>
      <c r="P77" s="7" t="s">
        <v>15</v>
      </c>
      <c r="Q77" s="7" t="s">
        <v>333</v>
      </c>
      <c r="S77" s="7">
        <v>100.0</v>
      </c>
      <c r="T77" s="7" t="s">
        <v>15</v>
      </c>
    </row>
    <row r="78">
      <c r="A78" s="7" t="s">
        <v>292</v>
      </c>
      <c r="B78" s="7">
        <v>0.03589</v>
      </c>
      <c r="C78" s="7">
        <v>58.82</v>
      </c>
      <c r="D78" s="7" t="s">
        <v>26</v>
      </c>
      <c r="E78" s="7" t="s">
        <v>334</v>
      </c>
      <c r="F78" s="7">
        <v>2.01356</v>
      </c>
      <c r="G78" s="7">
        <v>100.0</v>
      </c>
      <c r="H78" s="7" t="s">
        <v>15</v>
      </c>
      <c r="I78" s="7" t="s">
        <v>334</v>
      </c>
      <c r="J78" s="7">
        <v>1.78937</v>
      </c>
      <c r="K78" s="7">
        <v>100.0</v>
      </c>
      <c r="L78" s="7" t="s">
        <v>15</v>
      </c>
      <c r="M78" s="7" t="s">
        <v>334</v>
      </c>
      <c r="O78" s="7">
        <v>100.0</v>
      </c>
      <c r="P78" s="7" t="s">
        <v>15</v>
      </c>
      <c r="Q78" s="7" t="s">
        <v>334</v>
      </c>
      <c r="S78" s="7">
        <v>100.0</v>
      </c>
      <c r="T78" s="7" t="s">
        <v>15</v>
      </c>
    </row>
    <row r="79">
      <c r="A79" s="7" t="s">
        <v>335</v>
      </c>
      <c r="B79" s="7">
        <v>0.03476</v>
      </c>
      <c r="C79" s="7">
        <v>100.0</v>
      </c>
      <c r="D79" s="7" t="s">
        <v>15</v>
      </c>
      <c r="E79" s="7" t="s">
        <v>335</v>
      </c>
      <c r="F79" s="7">
        <v>1.70846</v>
      </c>
      <c r="G79" s="7">
        <v>100.0</v>
      </c>
      <c r="H79" s="7" t="s">
        <v>15</v>
      </c>
      <c r="I79" s="7" t="s">
        <v>335</v>
      </c>
      <c r="J79" s="7">
        <v>3.80069</v>
      </c>
      <c r="K79" s="7">
        <v>100.0</v>
      </c>
      <c r="L79" s="7" t="s">
        <v>15</v>
      </c>
      <c r="M79" s="7" t="s">
        <v>335</v>
      </c>
      <c r="O79" s="7">
        <v>100.0</v>
      </c>
      <c r="P79" s="7" t="s">
        <v>15</v>
      </c>
      <c r="Q79" s="7" t="s">
        <v>335</v>
      </c>
      <c r="S79" s="7">
        <v>100.0</v>
      </c>
      <c r="T79" s="7" t="s">
        <v>15</v>
      </c>
    </row>
    <row r="80">
      <c r="A80" s="7" t="s">
        <v>336</v>
      </c>
      <c r="B80" s="7">
        <v>0.0742</v>
      </c>
      <c r="C80" s="7">
        <v>100.0</v>
      </c>
      <c r="D80" s="7" t="s">
        <v>15</v>
      </c>
      <c r="E80" s="7" t="s">
        <v>336</v>
      </c>
      <c r="F80" s="7">
        <v>1.8873</v>
      </c>
      <c r="G80" s="7">
        <v>100.0</v>
      </c>
      <c r="H80" s="7" t="s">
        <v>15</v>
      </c>
      <c r="I80" s="7" t="s">
        <v>336</v>
      </c>
      <c r="J80" s="7">
        <v>1.75582</v>
      </c>
      <c r="K80" s="7">
        <v>100.0</v>
      </c>
      <c r="L80" s="7" t="s">
        <v>15</v>
      </c>
      <c r="M80" s="7" t="s">
        <v>336</v>
      </c>
      <c r="O80" s="7">
        <v>100.0</v>
      </c>
      <c r="P80" s="7" t="s">
        <v>15</v>
      </c>
      <c r="Q80" s="7" t="s">
        <v>336</v>
      </c>
      <c r="S80" s="7">
        <v>100.0</v>
      </c>
      <c r="T80" s="7" t="s">
        <v>15</v>
      </c>
    </row>
    <row r="81">
      <c r="A81" s="7" t="s">
        <v>337</v>
      </c>
      <c r="B81" s="7">
        <v>0.03752</v>
      </c>
      <c r="C81" s="7">
        <v>100.0</v>
      </c>
      <c r="D81" s="7" t="s">
        <v>15</v>
      </c>
      <c r="E81" s="7" t="s">
        <v>337</v>
      </c>
      <c r="F81" s="7">
        <v>1.75301</v>
      </c>
      <c r="G81" s="7">
        <v>100.0</v>
      </c>
      <c r="H81" s="7" t="s">
        <v>15</v>
      </c>
      <c r="I81" s="7" t="s">
        <v>337</v>
      </c>
      <c r="J81" s="7">
        <v>1.54995</v>
      </c>
      <c r="K81" s="7">
        <v>100.0</v>
      </c>
      <c r="L81" s="7" t="s">
        <v>15</v>
      </c>
      <c r="M81" s="7" t="s">
        <v>337</v>
      </c>
      <c r="O81" s="7">
        <v>100.0</v>
      </c>
      <c r="P81" s="7" t="s">
        <v>15</v>
      </c>
      <c r="Q81" s="7" t="s">
        <v>337</v>
      </c>
      <c r="S81" s="7">
        <v>100.0</v>
      </c>
      <c r="T81" s="7" t="s">
        <v>15</v>
      </c>
    </row>
    <row r="82">
      <c r="A82" s="7" t="s">
        <v>338</v>
      </c>
      <c r="B82" s="7">
        <v>0.26305</v>
      </c>
      <c r="C82" s="7">
        <v>66.67</v>
      </c>
      <c r="D82" s="7" t="s">
        <v>26</v>
      </c>
      <c r="E82" s="7" t="s">
        <v>339</v>
      </c>
      <c r="F82" s="7">
        <v>2.05804</v>
      </c>
      <c r="G82" s="7">
        <v>68.75</v>
      </c>
      <c r="H82" s="7" t="s">
        <v>26</v>
      </c>
      <c r="I82" s="7" t="s">
        <v>340</v>
      </c>
      <c r="J82" s="7">
        <v>1.90525</v>
      </c>
      <c r="K82" s="7">
        <v>100.0</v>
      </c>
      <c r="L82" s="7" t="s">
        <v>15</v>
      </c>
      <c r="M82" s="7" t="s">
        <v>339</v>
      </c>
      <c r="O82" s="7">
        <v>68.75</v>
      </c>
      <c r="P82" s="7" t="s">
        <v>26</v>
      </c>
      <c r="Q82" s="7" t="s">
        <v>340</v>
      </c>
      <c r="S82" s="7">
        <v>100.0</v>
      </c>
      <c r="T82" s="7" t="s">
        <v>15</v>
      </c>
    </row>
    <row r="83">
      <c r="A83" s="7" t="s">
        <v>341</v>
      </c>
      <c r="B83" s="7">
        <v>0.04292</v>
      </c>
      <c r="C83" s="7">
        <v>71.79</v>
      </c>
      <c r="D83" s="7" t="s">
        <v>26</v>
      </c>
      <c r="E83" s="7" t="s">
        <v>342</v>
      </c>
      <c r="F83" s="7">
        <v>2.27828</v>
      </c>
      <c r="G83" s="7">
        <v>71.79</v>
      </c>
      <c r="H83" s="7" t="s">
        <v>26</v>
      </c>
      <c r="I83" s="7" t="s">
        <v>342</v>
      </c>
      <c r="J83" s="7">
        <v>2.01125</v>
      </c>
      <c r="K83" s="7">
        <v>71.79</v>
      </c>
      <c r="L83" s="7" t="s">
        <v>26</v>
      </c>
      <c r="M83" s="7" t="s">
        <v>342</v>
      </c>
      <c r="O83" s="7">
        <v>71.79</v>
      </c>
      <c r="P83" s="7" t="s">
        <v>26</v>
      </c>
      <c r="Q83" s="7" t="s">
        <v>343</v>
      </c>
      <c r="S83" s="7">
        <v>92.31</v>
      </c>
      <c r="T83" s="7" t="s">
        <v>26</v>
      </c>
    </row>
    <row r="84">
      <c r="A84" s="7" t="s">
        <v>344</v>
      </c>
      <c r="B84" s="7">
        <v>0.03666</v>
      </c>
      <c r="C84" s="7">
        <v>75.0</v>
      </c>
      <c r="D84" s="7" t="s">
        <v>26</v>
      </c>
      <c r="E84" s="7" t="s">
        <v>345</v>
      </c>
      <c r="F84" s="7">
        <v>2.11866</v>
      </c>
      <c r="G84" s="7">
        <v>75.0</v>
      </c>
      <c r="H84" s="7" t="s">
        <v>26</v>
      </c>
      <c r="I84" s="7" t="s">
        <v>345</v>
      </c>
      <c r="J84" s="7">
        <v>1.89013</v>
      </c>
      <c r="K84" s="7">
        <v>75.0</v>
      </c>
      <c r="L84" s="7" t="s">
        <v>26</v>
      </c>
      <c r="M84" s="7" t="s">
        <v>346</v>
      </c>
      <c r="O84" s="7">
        <v>66.67</v>
      </c>
      <c r="P84" s="7" t="s">
        <v>26</v>
      </c>
      <c r="Q84" s="7" t="s">
        <v>347</v>
      </c>
      <c r="S84" s="7">
        <v>100.0</v>
      </c>
      <c r="T84" s="7" t="s">
        <v>15</v>
      </c>
    </row>
    <row r="85">
      <c r="A85" s="7" t="s">
        <v>348</v>
      </c>
      <c r="B85" s="7">
        <v>0.07339</v>
      </c>
      <c r="C85" s="7">
        <v>64.52</v>
      </c>
      <c r="D85" s="7" t="s">
        <v>26</v>
      </c>
      <c r="E85" s="7" t="s">
        <v>349</v>
      </c>
      <c r="F85" s="7">
        <v>1.90129</v>
      </c>
      <c r="G85" s="7">
        <v>66.67</v>
      </c>
      <c r="H85" s="7" t="s">
        <v>26</v>
      </c>
      <c r="I85" s="7" t="s">
        <v>350</v>
      </c>
      <c r="J85" s="7">
        <v>3.25787</v>
      </c>
      <c r="K85" s="7">
        <v>100.0</v>
      </c>
      <c r="L85" s="7" t="s">
        <v>15</v>
      </c>
      <c r="M85" s="7" t="s">
        <v>349</v>
      </c>
      <c r="O85" s="7">
        <v>66.67</v>
      </c>
      <c r="P85" s="7" t="s">
        <v>26</v>
      </c>
      <c r="Q85" s="7" t="s">
        <v>350</v>
      </c>
      <c r="S85" s="7">
        <v>100.0</v>
      </c>
      <c r="T85" s="7" t="s">
        <v>15</v>
      </c>
    </row>
    <row r="86">
      <c r="A86" s="7" t="s">
        <v>351</v>
      </c>
      <c r="B86" s="7">
        <v>0.06511</v>
      </c>
      <c r="C86" s="7">
        <v>70.27</v>
      </c>
      <c r="D86" s="7" t="s">
        <v>26</v>
      </c>
      <c r="E86" s="7" t="s">
        <v>352</v>
      </c>
      <c r="F86" s="7">
        <v>1.96119</v>
      </c>
      <c r="G86" s="7">
        <v>100.0</v>
      </c>
      <c r="H86" s="7" t="s">
        <v>15</v>
      </c>
      <c r="I86" s="7" t="s">
        <v>352</v>
      </c>
      <c r="J86" s="7">
        <v>1.84093</v>
      </c>
      <c r="K86" s="7">
        <v>100.0</v>
      </c>
      <c r="L86" s="7" t="s">
        <v>15</v>
      </c>
      <c r="M86" s="7" t="s">
        <v>353</v>
      </c>
      <c r="O86" s="7">
        <v>72.22</v>
      </c>
      <c r="P86" s="7" t="s">
        <v>26</v>
      </c>
      <c r="Q86" s="7" t="s">
        <v>352</v>
      </c>
      <c r="S86" s="7">
        <v>100.0</v>
      </c>
      <c r="T86" s="7" t="s">
        <v>15</v>
      </c>
    </row>
    <row r="87">
      <c r="A87" s="7" t="s">
        <v>354</v>
      </c>
      <c r="B87" s="7">
        <v>0.07444</v>
      </c>
      <c r="C87" s="7">
        <v>100.0</v>
      </c>
      <c r="D87" s="7" t="s">
        <v>15</v>
      </c>
      <c r="E87" s="7" t="s">
        <v>354</v>
      </c>
      <c r="F87" s="7">
        <v>1.77271</v>
      </c>
      <c r="G87" s="7">
        <v>100.0</v>
      </c>
      <c r="H87" s="7" t="s">
        <v>15</v>
      </c>
      <c r="I87" s="7" t="s">
        <v>354</v>
      </c>
      <c r="J87" s="7">
        <v>2.35099</v>
      </c>
      <c r="K87" s="7">
        <v>100.0</v>
      </c>
      <c r="L87" s="7" t="s">
        <v>15</v>
      </c>
      <c r="M87" s="7" t="s">
        <v>354</v>
      </c>
      <c r="O87" s="7">
        <v>100.0</v>
      </c>
      <c r="P87" s="7" t="s">
        <v>15</v>
      </c>
      <c r="Q87" s="7" t="s">
        <v>354</v>
      </c>
      <c r="S87" s="7">
        <v>100.0</v>
      </c>
      <c r="T87" s="7" t="s">
        <v>15</v>
      </c>
    </row>
    <row r="88">
      <c r="A88" s="7" t="s">
        <v>355</v>
      </c>
      <c r="B88" s="7">
        <v>0.16368</v>
      </c>
      <c r="C88" s="7">
        <v>100.0</v>
      </c>
      <c r="D88" s="7" t="s">
        <v>15</v>
      </c>
      <c r="E88" s="7" t="s">
        <v>355</v>
      </c>
      <c r="F88" s="7">
        <v>2.06092</v>
      </c>
      <c r="G88" s="7">
        <v>100.0</v>
      </c>
      <c r="H88" s="7" t="s">
        <v>15</v>
      </c>
      <c r="I88" s="7" t="s">
        <v>355</v>
      </c>
      <c r="J88" s="7">
        <v>1.7687</v>
      </c>
      <c r="K88" s="7">
        <v>100.0</v>
      </c>
      <c r="L88" s="7" t="s">
        <v>15</v>
      </c>
      <c r="M88" s="7" t="s">
        <v>355</v>
      </c>
      <c r="O88" s="7">
        <v>100.0</v>
      </c>
      <c r="P88" s="7" t="s">
        <v>15</v>
      </c>
      <c r="Q88" s="7" t="s">
        <v>355</v>
      </c>
      <c r="S88" s="7">
        <v>100.0</v>
      </c>
      <c r="T88" s="7" t="s">
        <v>15</v>
      </c>
    </row>
    <row r="89">
      <c r="A89" s="7" t="s">
        <v>356</v>
      </c>
      <c r="B89" s="7">
        <v>0.06796</v>
      </c>
      <c r="C89" s="7">
        <v>100.0</v>
      </c>
      <c r="D89" s="7" t="s">
        <v>15</v>
      </c>
      <c r="E89" s="7" t="s">
        <v>356</v>
      </c>
      <c r="F89" s="7">
        <v>4.66094</v>
      </c>
      <c r="G89" s="7">
        <v>100.0</v>
      </c>
      <c r="H89" s="7" t="s">
        <v>15</v>
      </c>
      <c r="I89" s="7" t="s">
        <v>356</v>
      </c>
      <c r="J89" s="7">
        <v>1.81768</v>
      </c>
      <c r="K89" s="7">
        <v>100.0</v>
      </c>
      <c r="L89" s="7" t="s">
        <v>15</v>
      </c>
      <c r="M89" s="7" t="s">
        <v>356</v>
      </c>
      <c r="O89" s="7">
        <v>100.0</v>
      </c>
      <c r="P89" s="7" t="s">
        <v>15</v>
      </c>
      <c r="Q89" s="7" t="s">
        <v>356</v>
      </c>
      <c r="S89" s="7">
        <v>100.0</v>
      </c>
      <c r="T89" s="7" t="s">
        <v>15</v>
      </c>
    </row>
    <row r="90">
      <c r="A90" s="7" t="s">
        <v>357</v>
      </c>
      <c r="B90" s="7">
        <v>0.09239</v>
      </c>
      <c r="C90" s="7">
        <v>100.0</v>
      </c>
      <c r="D90" s="7" t="s">
        <v>15</v>
      </c>
      <c r="E90" s="7" t="s">
        <v>357</v>
      </c>
      <c r="F90" s="7">
        <v>1.72797</v>
      </c>
      <c r="G90" s="7">
        <v>100.0</v>
      </c>
      <c r="H90" s="7" t="s">
        <v>15</v>
      </c>
      <c r="I90" s="7" t="s">
        <v>357</v>
      </c>
      <c r="J90" s="7">
        <v>1.9942</v>
      </c>
      <c r="K90" s="7">
        <v>100.0</v>
      </c>
      <c r="L90" s="7" t="s">
        <v>15</v>
      </c>
      <c r="M90" s="7" t="s">
        <v>357</v>
      </c>
      <c r="O90" s="7">
        <v>100.0</v>
      </c>
      <c r="P90" s="7" t="s">
        <v>15</v>
      </c>
      <c r="Q90" s="7" t="s">
        <v>357</v>
      </c>
      <c r="S90" s="7">
        <v>100.0</v>
      </c>
      <c r="T90" s="7" t="s">
        <v>15</v>
      </c>
    </row>
    <row r="91">
      <c r="A91" s="7" t="s">
        <v>358</v>
      </c>
      <c r="B91" s="7">
        <v>0.10158</v>
      </c>
      <c r="C91" s="7">
        <v>100.0</v>
      </c>
      <c r="D91" s="7" t="s">
        <v>15</v>
      </c>
      <c r="E91" s="7" t="s">
        <v>358</v>
      </c>
      <c r="F91" s="7">
        <v>1.79706</v>
      </c>
      <c r="G91" s="7">
        <v>100.0</v>
      </c>
      <c r="H91" s="7" t="s">
        <v>15</v>
      </c>
      <c r="I91" s="7" t="s">
        <v>358</v>
      </c>
      <c r="J91" s="7">
        <v>1.57804</v>
      </c>
      <c r="K91" s="7">
        <v>100.0</v>
      </c>
      <c r="L91" s="7" t="s">
        <v>15</v>
      </c>
      <c r="M91" s="7" t="s">
        <v>358</v>
      </c>
      <c r="O91" s="7">
        <v>100.0</v>
      </c>
      <c r="P91" s="7" t="s">
        <v>15</v>
      </c>
      <c r="Q91" s="7" t="s">
        <v>358</v>
      </c>
      <c r="S91" s="7">
        <v>100.0</v>
      </c>
      <c r="T91" s="7" t="s">
        <v>15</v>
      </c>
    </row>
    <row r="92">
      <c r="A92" s="7" t="s">
        <v>359</v>
      </c>
      <c r="B92" s="7">
        <v>0.07213</v>
      </c>
      <c r="C92" s="7">
        <v>100.0</v>
      </c>
      <c r="D92" s="7" t="s">
        <v>15</v>
      </c>
      <c r="E92" s="7" t="s">
        <v>359</v>
      </c>
      <c r="F92" s="7">
        <v>2.0291</v>
      </c>
      <c r="G92" s="7">
        <v>100.0</v>
      </c>
      <c r="H92" s="7" t="s">
        <v>15</v>
      </c>
      <c r="I92" s="7" t="s">
        <v>359</v>
      </c>
      <c r="J92" s="7">
        <v>1.96058</v>
      </c>
      <c r="K92" s="7">
        <v>100.0</v>
      </c>
      <c r="L92" s="7" t="s">
        <v>15</v>
      </c>
      <c r="M92" s="7" t="s">
        <v>359</v>
      </c>
      <c r="O92" s="7">
        <v>100.0</v>
      </c>
      <c r="P92" s="7" t="s">
        <v>15</v>
      </c>
      <c r="Q92" s="7" t="s">
        <v>359</v>
      </c>
      <c r="S92" s="7">
        <v>100.0</v>
      </c>
      <c r="T92" s="7" t="s">
        <v>15</v>
      </c>
    </row>
    <row r="93">
      <c r="A93" s="7" t="s">
        <v>360</v>
      </c>
      <c r="B93" s="7">
        <v>0.05946</v>
      </c>
      <c r="C93" s="7">
        <v>100.0</v>
      </c>
      <c r="D93" s="7" t="s">
        <v>15</v>
      </c>
      <c r="E93" s="7" t="s">
        <v>360</v>
      </c>
      <c r="F93" s="7">
        <v>1.7622</v>
      </c>
      <c r="G93" s="7">
        <v>100.0</v>
      </c>
      <c r="H93" s="7" t="s">
        <v>15</v>
      </c>
      <c r="I93" s="7" t="s">
        <v>360</v>
      </c>
      <c r="J93" s="7">
        <v>1.89017</v>
      </c>
      <c r="K93" s="7">
        <v>100.0</v>
      </c>
      <c r="L93" s="7" t="s">
        <v>15</v>
      </c>
      <c r="M93" s="7" t="s">
        <v>360</v>
      </c>
      <c r="O93" s="7">
        <v>100.0</v>
      </c>
      <c r="P93" s="7" t="s">
        <v>15</v>
      </c>
      <c r="Q93" s="7" t="s">
        <v>360</v>
      </c>
      <c r="S93" s="7">
        <v>100.0</v>
      </c>
      <c r="T93" s="7" t="s">
        <v>15</v>
      </c>
    </row>
    <row r="94">
      <c r="A94" s="7" t="s">
        <v>361</v>
      </c>
      <c r="B94" s="7">
        <v>0.09035</v>
      </c>
      <c r="C94" s="7">
        <v>100.0</v>
      </c>
      <c r="D94" s="7" t="s">
        <v>15</v>
      </c>
      <c r="E94" s="7" t="s">
        <v>361</v>
      </c>
      <c r="F94" s="7">
        <v>1.72471</v>
      </c>
      <c r="G94" s="7">
        <v>100.0</v>
      </c>
      <c r="H94" s="7" t="s">
        <v>15</v>
      </c>
      <c r="I94" s="7" t="s">
        <v>361</v>
      </c>
      <c r="J94" s="7">
        <v>1.83307</v>
      </c>
      <c r="K94" s="7">
        <v>100.0</v>
      </c>
      <c r="L94" s="7" t="s">
        <v>15</v>
      </c>
      <c r="M94" s="7" t="s">
        <v>361</v>
      </c>
      <c r="O94" s="7">
        <v>100.0</v>
      </c>
      <c r="P94" s="7" t="s">
        <v>15</v>
      </c>
      <c r="Q94" s="7" t="s">
        <v>361</v>
      </c>
      <c r="S94" s="7">
        <v>100.0</v>
      </c>
      <c r="T94" s="7" t="s">
        <v>15</v>
      </c>
    </row>
    <row r="95">
      <c r="A95" s="7" t="s">
        <v>362</v>
      </c>
      <c r="B95" s="7">
        <v>0.05613</v>
      </c>
      <c r="C95" s="7">
        <v>100.0</v>
      </c>
      <c r="D95" s="7" t="s">
        <v>15</v>
      </c>
      <c r="E95" s="7" t="s">
        <v>362</v>
      </c>
      <c r="F95" s="7">
        <v>1.86319</v>
      </c>
      <c r="G95" s="7">
        <v>100.0</v>
      </c>
      <c r="H95" s="7" t="s">
        <v>15</v>
      </c>
      <c r="I95" s="7" t="s">
        <v>362</v>
      </c>
      <c r="J95" s="7">
        <v>1.88409</v>
      </c>
      <c r="K95" s="7">
        <v>100.0</v>
      </c>
      <c r="L95" s="7" t="s">
        <v>15</v>
      </c>
      <c r="M95" s="7" t="s">
        <v>362</v>
      </c>
      <c r="O95" s="7">
        <v>100.0</v>
      </c>
      <c r="P95" s="7" t="s">
        <v>15</v>
      </c>
      <c r="Q95" s="7" t="s">
        <v>362</v>
      </c>
      <c r="S95" s="7">
        <v>100.0</v>
      </c>
      <c r="T95" s="7" t="s">
        <v>15</v>
      </c>
    </row>
    <row r="96">
      <c r="A96" s="7" t="s">
        <v>363</v>
      </c>
      <c r="B96" s="7">
        <v>0.05293</v>
      </c>
      <c r="C96" s="7">
        <v>100.0</v>
      </c>
      <c r="D96" s="7" t="s">
        <v>15</v>
      </c>
      <c r="E96" s="7" t="s">
        <v>363</v>
      </c>
      <c r="F96" s="7">
        <v>1.80336</v>
      </c>
      <c r="G96" s="7">
        <v>100.0</v>
      </c>
      <c r="H96" s="7" t="s">
        <v>15</v>
      </c>
      <c r="I96" s="7" t="s">
        <v>363</v>
      </c>
      <c r="J96" s="7">
        <v>1.79415</v>
      </c>
      <c r="K96" s="7">
        <v>100.0</v>
      </c>
      <c r="L96" s="7" t="s">
        <v>15</v>
      </c>
      <c r="M96" s="7" t="s">
        <v>363</v>
      </c>
      <c r="O96" s="7">
        <v>100.0</v>
      </c>
      <c r="P96" s="7" t="s">
        <v>15</v>
      </c>
      <c r="Q96" s="7" t="s">
        <v>363</v>
      </c>
      <c r="S96" s="7">
        <v>100.0</v>
      </c>
      <c r="T96" s="7" t="s">
        <v>15</v>
      </c>
    </row>
    <row r="97">
      <c r="A97" s="7" t="s">
        <v>364</v>
      </c>
      <c r="B97" s="7">
        <v>0.07382</v>
      </c>
      <c r="C97" s="7">
        <v>100.0</v>
      </c>
      <c r="D97" s="7" t="s">
        <v>15</v>
      </c>
      <c r="E97" s="7" t="s">
        <v>364</v>
      </c>
      <c r="F97" s="7">
        <v>1.8716</v>
      </c>
      <c r="G97" s="7">
        <v>100.0</v>
      </c>
      <c r="H97" s="7" t="s">
        <v>15</v>
      </c>
      <c r="I97" s="7" t="s">
        <v>364</v>
      </c>
      <c r="J97" s="7">
        <v>1.75267</v>
      </c>
      <c r="K97" s="7">
        <v>100.0</v>
      </c>
      <c r="L97" s="7" t="s">
        <v>15</v>
      </c>
      <c r="M97" s="7" t="s">
        <v>364</v>
      </c>
      <c r="O97" s="7">
        <v>100.0</v>
      </c>
      <c r="P97" s="7" t="s">
        <v>15</v>
      </c>
      <c r="Q97" s="7" t="s">
        <v>364</v>
      </c>
      <c r="S97" s="7">
        <v>100.0</v>
      </c>
      <c r="T97" s="7" t="s">
        <v>15</v>
      </c>
    </row>
    <row r="98">
      <c r="A98" s="7" t="s">
        <v>365</v>
      </c>
      <c r="B98" s="7">
        <v>0.20525</v>
      </c>
      <c r="C98" s="7">
        <v>100.0</v>
      </c>
      <c r="D98" s="7" t="s">
        <v>15</v>
      </c>
      <c r="E98" s="7" t="s">
        <v>365</v>
      </c>
      <c r="F98" s="7">
        <v>1.90516</v>
      </c>
      <c r="G98" s="7">
        <v>100.0</v>
      </c>
      <c r="H98" s="7" t="s">
        <v>15</v>
      </c>
      <c r="I98" s="7" t="s">
        <v>365</v>
      </c>
      <c r="J98" s="7">
        <v>1.81638</v>
      </c>
      <c r="K98" s="7">
        <v>100.0</v>
      </c>
      <c r="L98" s="7" t="s">
        <v>15</v>
      </c>
      <c r="M98" s="7" t="s">
        <v>365</v>
      </c>
      <c r="O98" s="7">
        <v>100.0</v>
      </c>
      <c r="P98" s="7" t="s">
        <v>15</v>
      </c>
      <c r="Q98" s="7" t="s">
        <v>365</v>
      </c>
      <c r="S98" s="7">
        <v>100.0</v>
      </c>
      <c r="T98" s="7" t="s">
        <v>15</v>
      </c>
    </row>
    <row r="99">
      <c r="A99" s="7" t="s">
        <v>366</v>
      </c>
      <c r="B99" s="7">
        <v>0.0895</v>
      </c>
      <c r="C99" s="7">
        <v>100.0</v>
      </c>
      <c r="D99" s="7" t="s">
        <v>15</v>
      </c>
      <c r="E99" s="7" t="s">
        <v>366</v>
      </c>
      <c r="F99" s="7">
        <v>1.98417</v>
      </c>
      <c r="G99" s="7">
        <v>100.0</v>
      </c>
      <c r="H99" s="7" t="s">
        <v>15</v>
      </c>
      <c r="I99" s="7" t="s">
        <v>366</v>
      </c>
      <c r="J99" s="7">
        <v>1.71727</v>
      </c>
      <c r="K99" s="7">
        <v>100.0</v>
      </c>
      <c r="L99" s="7" t="s">
        <v>15</v>
      </c>
      <c r="M99" s="7" t="s">
        <v>366</v>
      </c>
      <c r="O99" s="7">
        <v>100.0</v>
      </c>
      <c r="P99" s="7" t="s">
        <v>15</v>
      </c>
      <c r="Q99" s="7" t="s">
        <v>366</v>
      </c>
      <c r="S99" s="7">
        <v>100.0</v>
      </c>
      <c r="T99" s="7" t="s">
        <v>15</v>
      </c>
    </row>
    <row r="100">
      <c r="A100" s="7" t="s">
        <v>367</v>
      </c>
      <c r="B100" s="7">
        <v>0.07936</v>
      </c>
      <c r="C100" s="7">
        <v>100.0</v>
      </c>
      <c r="D100" s="7" t="s">
        <v>15</v>
      </c>
      <c r="E100" s="7" t="s">
        <v>367</v>
      </c>
      <c r="F100" s="7">
        <v>1.98513</v>
      </c>
      <c r="G100" s="7">
        <v>100.0</v>
      </c>
      <c r="H100" s="7" t="s">
        <v>15</v>
      </c>
      <c r="I100" s="7" t="s">
        <v>367</v>
      </c>
      <c r="J100" s="7">
        <v>1.62383</v>
      </c>
      <c r="K100" s="7">
        <v>100.0</v>
      </c>
      <c r="L100" s="7" t="s">
        <v>15</v>
      </c>
      <c r="M100" s="7" t="s">
        <v>367</v>
      </c>
      <c r="O100" s="7">
        <v>100.0</v>
      </c>
      <c r="P100" s="7" t="s">
        <v>15</v>
      </c>
      <c r="Q100" s="7" t="s">
        <v>367</v>
      </c>
      <c r="S100" s="7">
        <v>100.0</v>
      </c>
      <c r="T100" s="7" t="s">
        <v>15</v>
      </c>
    </row>
    <row r="101">
      <c r="A101" s="7" t="s">
        <v>368</v>
      </c>
      <c r="B101" s="7">
        <v>0.05348</v>
      </c>
      <c r="C101" s="7">
        <v>100.0</v>
      </c>
      <c r="D101" s="7" t="s">
        <v>15</v>
      </c>
      <c r="E101" s="7" t="s">
        <v>368</v>
      </c>
      <c r="F101" s="7">
        <v>2.33547</v>
      </c>
      <c r="G101" s="7">
        <v>100.0</v>
      </c>
      <c r="H101" s="7" t="s">
        <v>15</v>
      </c>
      <c r="I101" s="7" t="s">
        <v>368</v>
      </c>
      <c r="J101" s="7">
        <v>1.88487</v>
      </c>
      <c r="K101" s="7">
        <v>100.0</v>
      </c>
      <c r="L101" s="7" t="s">
        <v>15</v>
      </c>
      <c r="M101" s="7" t="s">
        <v>368</v>
      </c>
      <c r="O101" s="7">
        <v>100.0</v>
      </c>
      <c r="P101" s="7" t="s">
        <v>15</v>
      </c>
      <c r="Q101" s="7" t="s">
        <v>368</v>
      </c>
      <c r="S101" s="7">
        <v>100.0</v>
      </c>
      <c r="T101" s="7" t="s">
        <v>15</v>
      </c>
    </row>
    <row r="102">
      <c r="A102" s="7" t="s">
        <v>369</v>
      </c>
      <c r="B102" s="7">
        <v>0.07607</v>
      </c>
      <c r="C102" s="7">
        <v>100.0</v>
      </c>
      <c r="D102" s="7" t="s">
        <v>15</v>
      </c>
      <c r="E102" s="7" t="s">
        <v>369</v>
      </c>
      <c r="F102" s="7">
        <v>1.93535</v>
      </c>
      <c r="G102" s="7">
        <v>100.0</v>
      </c>
      <c r="H102" s="7" t="s">
        <v>15</v>
      </c>
      <c r="I102" s="7" t="s">
        <v>369</v>
      </c>
      <c r="J102" s="7">
        <v>2.10806</v>
      </c>
      <c r="K102" s="7">
        <v>100.0</v>
      </c>
      <c r="L102" s="7" t="s">
        <v>15</v>
      </c>
      <c r="M102" s="7" t="s">
        <v>369</v>
      </c>
      <c r="O102" s="7">
        <v>100.0</v>
      </c>
      <c r="P102" s="7" t="s">
        <v>15</v>
      </c>
      <c r="Q102" s="7" t="s">
        <v>369</v>
      </c>
      <c r="S102" s="7">
        <v>100.0</v>
      </c>
      <c r="T102" s="7" t="s">
        <v>15</v>
      </c>
    </row>
    <row r="103">
      <c r="A103" s="7" t="s">
        <v>370</v>
      </c>
      <c r="B103" s="7">
        <v>0.08789</v>
      </c>
      <c r="C103" s="7">
        <v>100.0</v>
      </c>
      <c r="D103" s="7" t="s">
        <v>15</v>
      </c>
      <c r="E103" s="7" t="s">
        <v>370</v>
      </c>
      <c r="F103" s="7">
        <v>1.74321</v>
      </c>
      <c r="G103" s="7">
        <v>100.0</v>
      </c>
      <c r="H103" s="7" t="s">
        <v>15</v>
      </c>
      <c r="I103" s="7" t="s">
        <v>370</v>
      </c>
      <c r="J103" s="7">
        <v>1.87152</v>
      </c>
      <c r="K103" s="7">
        <v>100.0</v>
      </c>
      <c r="L103" s="7" t="s">
        <v>15</v>
      </c>
      <c r="M103" s="7" t="s">
        <v>370</v>
      </c>
      <c r="O103" s="7">
        <v>100.0</v>
      </c>
      <c r="P103" s="7" t="s">
        <v>15</v>
      </c>
      <c r="Q103" s="7" t="s">
        <v>370</v>
      </c>
      <c r="S103" s="7">
        <v>100.0</v>
      </c>
      <c r="T103" s="7" t="s">
        <v>15</v>
      </c>
    </row>
    <row r="104">
      <c r="A104" s="7" t="s">
        <v>371</v>
      </c>
      <c r="B104" s="7">
        <v>0.06552</v>
      </c>
      <c r="C104" s="7">
        <v>100.0</v>
      </c>
      <c r="D104" s="7" t="s">
        <v>15</v>
      </c>
      <c r="E104" s="7" t="s">
        <v>371</v>
      </c>
      <c r="F104" s="7">
        <v>1.84511</v>
      </c>
      <c r="G104" s="7">
        <v>100.0</v>
      </c>
      <c r="H104" s="7" t="s">
        <v>15</v>
      </c>
      <c r="I104" s="7" t="s">
        <v>371</v>
      </c>
      <c r="J104" s="7">
        <v>1.89396</v>
      </c>
      <c r="K104" s="7">
        <v>100.0</v>
      </c>
      <c r="L104" s="7" t="s">
        <v>15</v>
      </c>
      <c r="M104" s="7" t="s">
        <v>371</v>
      </c>
      <c r="O104" s="7">
        <v>100.0</v>
      </c>
      <c r="P104" s="7" t="s">
        <v>15</v>
      </c>
      <c r="Q104" s="7" t="s">
        <v>371</v>
      </c>
      <c r="S104" s="7">
        <v>100.0</v>
      </c>
      <c r="T104" s="7" t="s">
        <v>15</v>
      </c>
    </row>
    <row r="105">
      <c r="A105" s="7" t="s">
        <v>372</v>
      </c>
      <c r="B105" s="7">
        <v>0.05135</v>
      </c>
      <c r="C105" s="7">
        <v>100.0</v>
      </c>
      <c r="D105" s="7" t="s">
        <v>15</v>
      </c>
      <c r="E105" s="7" t="s">
        <v>372</v>
      </c>
      <c r="F105" s="7">
        <v>1.92846</v>
      </c>
      <c r="G105" s="7">
        <v>100.0</v>
      </c>
      <c r="H105" s="7" t="s">
        <v>15</v>
      </c>
      <c r="I105" s="7" t="s">
        <v>372</v>
      </c>
      <c r="J105" s="7">
        <v>1.7569</v>
      </c>
      <c r="K105" s="7">
        <v>100.0</v>
      </c>
      <c r="L105" s="7" t="s">
        <v>15</v>
      </c>
      <c r="M105" s="7" t="s">
        <v>372</v>
      </c>
      <c r="O105" s="7">
        <v>100.0</v>
      </c>
      <c r="P105" s="7" t="s">
        <v>15</v>
      </c>
      <c r="Q105" s="7" t="s">
        <v>372</v>
      </c>
      <c r="S105" s="7">
        <v>100.0</v>
      </c>
      <c r="T105" s="7" t="s">
        <v>15</v>
      </c>
    </row>
    <row r="106">
      <c r="A106" s="7" t="s">
        <v>373</v>
      </c>
      <c r="B106" s="7">
        <v>0.05371</v>
      </c>
      <c r="C106" s="7">
        <v>100.0</v>
      </c>
      <c r="D106" s="7" t="s">
        <v>15</v>
      </c>
      <c r="E106" s="7" t="s">
        <v>373</v>
      </c>
      <c r="F106" s="7">
        <v>1.87476</v>
      </c>
      <c r="G106" s="7">
        <v>100.0</v>
      </c>
      <c r="H106" s="7" t="s">
        <v>15</v>
      </c>
      <c r="I106" s="7" t="s">
        <v>373</v>
      </c>
      <c r="J106" s="7">
        <v>1.68419</v>
      </c>
      <c r="K106" s="7">
        <v>100.0</v>
      </c>
      <c r="L106" s="7" t="s">
        <v>15</v>
      </c>
      <c r="M106" s="7" t="s">
        <v>373</v>
      </c>
      <c r="O106" s="7">
        <v>100.0</v>
      </c>
      <c r="P106" s="7" t="s">
        <v>15</v>
      </c>
      <c r="Q106" s="7" t="s">
        <v>373</v>
      </c>
      <c r="S106" s="7">
        <v>100.0</v>
      </c>
      <c r="T106" s="7" t="s">
        <v>15</v>
      </c>
    </row>
    <row r="107">
      <c r="A107" s="7" t="s">
        <v>374</v>
      </c>
      <c r="B107" s="7">
        <v>0.36483</v>
      </c>
      <c r="C107" s="7">
        <v>100.0</v>
      </c>
      <c r="D107" s="7" t="s">
        <v>15</v>
      </c>
      <c r="E107" s="7" t="s">
        <v>374</v>
      </c>
      <c r="F107" s="7">
        <v>1.8856</v>
      </c>
      <c r="G107" s="7">
        <v>100.0</v>
      </c>
      <c r="H107" s="7" t="s">
        <v>15</v>
      </c>
      <c r="I107" s="7" t="s">
        <v>374</v>
      </c>
      <c r="J107" s="7">
        <v>1.83914</v>
      </c>
      <c r="K107" s="7">
        <v>100.0</v>
      </c>
      <c r="L107" s="7" t="s">
        <v>15</v>
      </c>
      <c r="M107" s="7" t="s">
        <v>374</v>
      </c>
      <c r="O107" s="7">
        <v>100.0</v>
      </c>
      <c r="P107" s="7" t="s">
        <v>15</v>
      </c>
      <c r="Q107" s="7" t="s">
        <v>374</v>
      </c>
      <c r="S107" s="7">
        <v>100.0</v>
      </c>
      <c r="T107" s="7" t="s">
        <v>15</v>
      </c>
    </row>
    <row r="108">
      <c r="A108" s="7" t="s">
        <v>375</v>
      </c>
      <c r="B108" s="7">
        <v>0.08687</v>
      </c>
      <c r="C108" s="7">
        <v>100.0</v>
      </c>
      <c r="D108" s="7" t="s">
        <v>15</v>
      </c>
      <c r="E108" s="7" t="s">
        <v>375</v>
      </c>
      <c r="F108" s="7">
        <v>1.74693</v>
      </c>
      <c r="G108" s="7">
        <v>100.0</v>
      </c>
      <c r="H108" s="7" t="s">
        <v>15</v>
      </c>
      <c r="I108" s="7" t="s">
        <v>375</v>
      </c>
      <c r="J108" s="7">
        <v>1.74031</v>
      </c>
      <c r="K108" s="7">
        <v>100.0</v>
      </c>
      <c r="L108" s="7" t="s">
        <v>15</v>
      </c>
      <c r="M108" s="7" t="s">
        <v>375</v>
      </c>
      <c r="O108" s="7">
        <v>100.0</v>
      </c>
      <c r="P108" s="7" t="s">
        <v>15</v>
      </c>
      <c r="Q108" s="7" t="s">
        <v>375</v>
      </c>
      <c r="S108" s="7">
        <v>100.0</v>
      </c>
      <c r="T108" s="7" t="s">
        <v>15</v>
      </c>
    </row>
    <row r="109">
      <c r="A109" s="7" t="s">
        <v>376</v>
      </c>
      <c r="B109" s="7">
        <v>0.07411</v>
      </c>
      <c r="C109" s="7">
        <v>100.0</v>
      </c>
      <c r="D109" s="7" t="s">
        <v>15</v>
      </c>
      <c r="E109" s="7" t="s">
        <v>376</v>
      </c>
      <c r="F109" s="7">
        <v>2.05611</v>
      </c>
      <c r="G109" s="7">
        <v>100.0</v>
      </c>
      <c r="H109" s="7" t="s">
        <v>15</v>
      </c>
      <c r="I109" s="7" t="s">
        <v>376</v>
      </c>
      <c r="J109" s="7">
        <v>1.6003</v>
      </c>
      <c r="K109" s="7">
        <v>100.0</v>
      </c>
      <c r="L109" s="7" t="s">
        <v>15</v>
      </c>
      <c r="M109" s="7" t="s">
        <v>376</v>
      </c>
      <c r="O109" s="7">
        <v>100.0</v>
      </c>
      <c r="P109" s="7" t="s">
        <v>15</v>
      </c>
      <c r="Q109" s="7" t="s">
        <v>376</v>
      </c>
      <c r="S109" s="7">
        <v>100.0</v>
      </c>
      <c r="T109" s="7" t="s">
        <v>15</v>
      </c>
    </row>
    <row r="110">
      <c r="A110" s="7" t="s">
        <v>377</v>
      </c>
      <c r="B110" s="7">
        <v>0.07253</v>
      </c>
      <c r="C110" s="7">
        <v>100.0</v>
      </c>
      <c r="D110" s="7" t="s">
        <v>15</v>
      </c>
      <c r="E110" s="7" t="s">
        <v>377</v>
      </c>
      <c r="F110" s="7">
        <v>1.77845</v>
      </c>
      <c r="G110" s="7">
        <v>100.0</v>
      </c>
      <c r="H110" s="7" t="s">
        <v>15</v>
      </c>
      <c r="I110" s="7" t="s">
        <v>377</v>
      </c>
      <c r="J110" s="7">
        <v>1.66666</v>
      </c>
      <c r="K110" s="7">
        <v>100.0</v>
      </c>
      <c r="L110" s="7" t="s">
        <v>15</v>
      </c>
      <c r="M110" s="7" t="s">
        <v>377</v>
      </c>
      <c r="O110" s="7">
        <v>100.0</v>
      </c>
      <c r="P110" s="7" t="s">
        <v>15</v>
      </c>
      <c r="Q110" s="7" t="s">
        <v>377</v>
      </c>
      <c r="S110" s="7">
        <v>100.0</v>
      </c>
      <c r="T110" s="7" t="s">
        <v>15</v>
      </c>
    </row>
    <row r="111">
      <c r="A111" s="7" t="s">
        <v>378</v>
      </c>
      <c r="B111" s="7">
        <v>0.05756</v>
      </c>
      <c r="C111" s="7">
        <v>100.0</v>
      </c>
      <c r="D111" s="7" t="s">
        <v>15</v>
      </c>
      <c r="E111" s="7" t="s">
        <v>378</v>
      </c>
      <c r="F111" s="7">
        <v>1.6154</v>
      </c>
      <c r="G111" s="7">
        <v>100.0</v>
      </c>
      <c r="H111" s="7" t="s">
        <v>15</v>
      </c>
      <c r="I111" s="7" t="s">
        <v>378</v>
      </c>
      <c r="J111" s="7">
        <v>1.80307</v>
      </c>
      <c r="K111" s="7">
        <v>100.0</v>
      </c>
      <c r="L111" s="7" t="s">
        <v>15</v>
      </c>
      <c r="M111" s="7" t="s">
        <v>378</v>
      </c>
      <c r="O111" s="7">
        <v>100.0</v>
      </c>
      <c r="P111" s="7" t="s">
        <v>15</v>
      </c>
      <c r="Q111" s="7" t="s">
        <v>378</v>
      </c>
      <c r="S111" s="7">
        <v>100.0</v>
      </c>
      <c r="T111" s="7" t="s">
        <v>15</v>
      </c>
    </row>
    <row r="112">
      <c r="A112" s="7" t="s">
        <v>379</v>
      </c>
      <c r="B112" s="7">
        <v>0.06599</v>
      </c>
      <c r="C112" s="7">
        <v>100.0</v>
      </c>
      <c r="D112" s="7" t="s">
        <v>15</v>
      </c>
      <c r="E112" s="7" t="s">
        <v>379</v>
      </c>
      <c r="F112" s="7">
        <v>2.02264</v>
      </c>
      <c r="G112" s="7">
        <v>100.0</v>
      </c>
      <c r="H112" s="7" t="s">
        <v>15</v>
      </c>
      <c r="I112" s="7" t="s">
        <v>379</v>
      </c>
      <c r="J112" s="7">
        <v>1.91203</v>
      </c>
      <c r="K112" s="7">
        <v>100.0</v>
      </c>
      <c r="L112" s="7" t="s">
        <v>15</v>
      </c>
      <c r="M112" s="7" t="s">
        <v>379</v>
      </c>
      <c r="O112" s="7">
        <v>100.0</v>
      </c>
      <c r="P112" s="7" t="s">
        <v>15</v>
      </c>
      <c r="Q112" s="7" t="s">
        <v>379</v>
      </c>
      <c r="S112" s="7">
        <v>100.0</v>
      </c>
      <c r="T112" s="7" t="s">
        <v>15</v>
      </c>
    </row>
    <row r="113">
      <c r="A113" s="7" t="s">
        <v>380</v>
      </c>
      <c r="B113" s="7">
        <v>0.07151</v>
      </c>
      <c r="C113" s="7">
        <v>100.0</v>
      </c>
      <c r="D113" s="7" t="s">
        <v>15</v>
      </c>
      <c r="E113" s="7" t="s">
        <v>380</v>
      </c>
      <c r="F113" s="7">
        <v>3.48217</v>
      </c>
      <c r="G113" s="7">
        <v>100.0</v>
      </c>
      <c r="H113" s="7" t="s">
        <v>15</v>
      </c>
      <c r="I113" s="7" t="s">
        <v>380</v>
      </c>
      <c r="J113" s="7">
        <v>2.25748</v>
      </c>
      <c r="K113" s="7">
        <v>100.0</v>
      </c>
      <c r="L113" s="7" t="s">
        <v>15</v>
      </c>
      <c r="M113" s="7" t="s">
        <v>380</v>
      </c>
      <c r="O113" s="7">
        <v>100.0</v>
      </c>
      <c r="P113" s="7" t="s">
        <v>15</v>
      </c>
      <c r="Q113" s="7" t="s">
        <v>380</v>
      </c>
      <c r="S113" s="7">
        <v>100.0</v>
      </c>
      <c r="T113" s="7" t="s">
        <v>15</v>
      </c>
    </row>
    <row r="114">
      <c r="A114" s="7" t="s">
        <v>381</v>
      </c>
      <c r="B114" s="7">
        <v>0.0639</v>
      </c>
      <c r="C114" s="7">
        <v>100.0</v>
      </c>
      <c r="D114" s="7" t="s">
        <v>15</v>
      </c>
      <c r="E114" s="7" t="s">
        <v>381</v>
      </c>
      <c r="F114" s="7">
        <v>1.85576</v>
      </c>
      <c r="G114" s="7">
        <v>100.0</v>
      </c>
      <c r="H114" s="7" t="s">
        <v>15</v>
      </c>
      <c r="I114" s="7" t="s">
        <v>381</v>
      </c>
      <c r="J114" s="7">
        <v>2.03413</v>
      </c>
      <c r="K114" s="7">
        <v>100.0</v>
      </c>
      <c r="L114" s="7" t="s">
        <v>15</v>
      </c>
      <c r="M114" s="7" t="s">
        <v>381</v>
      </c>
      <c r="O114" s="7">
        <v>100.0</v>
      </c>
      <c r="P114" s="7" t="s">
        <v>15</v>
      </c>
      <c r="Q114" s="7" t="s">
        <v>381</v>
      </c>
      <c r="S114" s="7">
        <v>100.0</v>
      </c>
      <c r="T114" s="7" t="s">
        <v>15</v>
      </c>
    </row>
    <row r="115">
      <c r="A115" s="7" t="s">
        <v>382</v>
      </c>
      <c r="B115" s="7">
        <v>0.07804</v>
      </c>
      <c r="C115" s="7">
        <v>100.0</v>
      </c>
      <c r="D115" s="7" t="s">
        <v>15</v>
      </c>
      <c r="E115" s="7" t="s">
        <v>382</v>
      </c>
      <c r="F115" s="7">
        <v>1.79445</v>
      </c>
      <c r="G115" s="7">
        <v>100.0</v>
      </c>
      <c r="H115" s="7" t="s">
        <v>15</v>
      </c>
      <c r="I115" s="7" t="s">
        <v>382</v>
      </c>
      <c r="J115" s="7">
        <v>1.84009</v>
      </c>
      <c r="K115" s="7">
        <v>100.0</v>
      </c>
      <c r="L115" s="7" t="s">
        <v>15</v>
      </c>
      <c r="M115" s="7" t="s">
        <v>382</v>
      </c>
      <c r="O115" s="7">
        <v>100.0</v>
      </c>
      <c r="P115" s="7" t="s">
        <v>15</v>
      </c>
      <c r="Q115" s="7" t="s">
        <v>382</v>
      </c>
      <c r="S115" s="7">
        <v>100.0</v>
      </c>
      <c r="T115" s="7" t="s">
        <v>15</v>
      </c>
    </row>
    <row r="116">
      <c r="A116" s="7" t="s">
        <v>383</v>
      </c>
      <c r="B116" s="7">
        <v>0.06062</v>
      </c>
      <c r="C116" s="7">
        <v>100.0</v>
      </c>
      <c r="D116" s="7" t="s">
        <v>15</v>
      </c>
      <c r="E116" s="7" t="s">
        <v>383</v>
      </c>
      <c r="F116" s="7">
        <v>1.78021</v>
      </c>
      <c r="G116" s="7">
        <v>100.0</v>
      </c>
      <c r="H116" s="7" t="s">
        <v>15</v>
      </c>
      <c r="I116" s="7" t="s">
        <v>383</v>
      </c>
      <c r="J116" s="7">
        <v>1.91102</v>
      </c>
      <c r="K116" s="7">
        <v>100.0</v>
      </c>
      <c r="L116" s="7" t="s">
        <v>15</v>
      </c>
      <c r="M116" s="7" t="s">
        <v>383</v>
      </c>
      <c r="O116" s="7">
        <v>100.0</v>
      </c>
      <c r="P116" s="7" t="s">
        <v>15</v>
      </c>
      <c r="Q116" s="7" t="s">
        <v>383</v>
      </c>
      <c r="S116" s="7">
        <v>100.0</v>
      </c>
      <c r="T116" s="7" t="s">
        <v>15</v>
      </c>
    </row>
    <row r="117">
      <c r="A117" s="7" t="s">
        <v>384</v>
      </c>
      <c r="B117" s="7">
        <v>0.06223</v>
      </c>
      <c r="C117" s="7">
        <v>100.0</v>
      </c>
      <c r="D117" s="7" t="s">
        <v>15</v>
      </c>
      <c r="E117" s="7" t="s">
        <v>384</v>
      </c>
      <c r="F117" s="7">
        <v>2.03537</v>
      </c>
      <c r="G117" s="7">
        <v>100.0</v>
      </c>
      <c r="H117" s="7" t="s">
        <v>15</v>
      </c>
      <c r="I117" s="7" t="s">
        <v>384</v>
      </c>
      <c r="J117" s="7">
        <v>3.35471</v>
      </c>
      <c r="K117" s="7">
        <v>100.0</v>
      </c>
      <c r="L117" s="7" t="s">
        <v>15</v>
      </c>
      <c r="M117" s="7" t="s">
        <v>384</v>
      </c>
      <c r="O117" s="7">
        <v>100.0</v>
      </c>
      <c r="P117" s="7" t="s">
        <v>15</v>
      </c>
      <c r="Q117" s="7" t="s">
        <v>384</v>
      </c>
      <c r="S117" s="7">
        <v>100.0</v>
      </c>
      <c r="T117" s="7" t="s">
        <v>15</v>
      </c>
    </row>
    <row r="118">
      <c r="A118" s="7" t="s">
        <v>385</v>
      </c>
      <c r="B118" s="7">
        <v>0.05381</v>
      </c>
      <c r="C118" s="7">
        <v>100.0</v>
      </c>
      <c r="D118" s="7" t="s">
        <v>15</v>
      </c>
      <c r="E118" s="7" t="s">
        <v>385</v>
      </c>
      <c r="F118" s="7">
        <v>1.78496</v>
      </c>
      <c r="G118" s="7">
        <v>100.0</v>
      </c>
      <c r="H118" s="7" t="s">
        <v>15</v>
      </c>
      <c r="I118" s="7" t="s">
        <v>385</v>
      </c>
      <c r="J118" s="7">
        <v>1.84139</v>
      </c>
      <c r="K118" s="7">
        <v>100.0</v>
      </c>
      <c r="L118" s="7" t="s">
        <v>15</v>
      </c>
      <c r="M118" s="7" t="s">
        <v>385</v>
      </c>
      <c r="O118" s="7">
        <v>100.0</v>
      </c>
      <c r="P118" s="7" t="s">
        <v>15</v>
      </c>
      <c r="Q118" s="7" t="s">
        <v>385</v>
      </c>
      <c r="S118" s="7">
        <v>100.0</v>
      </c>
      <c r="T118" s="7" t="s">
        <v>15</v>
      </c>
    </row>
    <row r="119">
      <c r="A119" s="7" t="s">
        <v>386</v>
      </c>
      <c r="B119" s="7">
        <v>0.12674</v>
      </c>
      <c r="C119" s="7">
        <v>76.67</v>
      </c>
      <c r="D119" s="7" t="s">
        <v>26</v>
      </c>
      <c r="E119" s="7" t="s">
        <v>387</v>
      </c>
      <c r="F119" s="7">
        <v>2.13437</v>
      </c>
      <c r="G119" s="7">
        <v>80.65</v>
      </c>
      <c r="H119" s="7" t="s">
        <v>26</v>
      </c>
      <c r="I119" s="7" t="s">
        <v>388</v>
      </c>
      <c r="J119" s="7">
        <v>2.04412</v>
      </c>
      <c r="K119" s="7">
        <v>100.0</v>
      </c>
      <c r="L119" s="7" t="s">
        <v>15</v>
      </c>
      <c r="M119" s="7" t="s">
        <v>387</v>
      </c>
      <c r="O119" s="7">
        <v>80.65</v>
      </c>
      <c r="P119" s="7" t="s">
        <v>26</v>
      </c>
      <c r="Q119" s="7" t="s">
        <v>388</v>
      </c>
      <c r="S119" s="7">
        <v>100.0</v>
      </c>
      <c r="T119" s="7" t="s">
        <v>15</v>
      </c>
    </row>
    <row r="120">
      <c r="A120" s="7" t="s">
        <v>389</v>
      </c>
      <c r="B120" s="7">
        <v>0.15535</v>
      </c>
      <c r="C120" s="7">
        <v>75.86</v>
      </c>
      <c r="D120" s="7" t="s">
        <v>26</v>
      </c>
      <c r="E120" s="7" t="s">
        <v>390</v>
      </c>
      <c r="F120" s="7">
        <v>1.9265</v>
      </c>
      <c r="G120" s="7">
        <v>80.0</v>
      </c>
      <c r="H120" s="7" t="s">
        <v>26</v>
      </c>
      <c r="I120" s="7" t="s">
        <v>391</v>
      </c>
      <c r="J120" s="7">
        <v>1.90093</v>
      </c>
      <c r="K120" s="7">
        <v>100.0</v>
      </c>
      <c r="L120" s="7" t="s">
        <v>15</v>
      </c>
      <c r="M120" s="7" t="s">
        <v>390</v>
      </c>
      <c r="O120" s="7">
        <v>80.0</v>
      </c>
      <c r="P120" s="7" t="s">
        <v>26</v>
      </c>
      <c r="Q120" s="7" t="s">
        <v>391</v>
      </c>
      <c r="S120" s="7">
        <v>100.0</v>
      </c>
      <c r="T120" s="7" t="s">
        <v>15</v>
      </c>
    </row>
    <row r="121">
      <c r="A121" s="7" t="s">
        <v>392</v>
      </c>
      <c r="B121" s="7">
        <v>0.05941</v>
      </c>
      <c r="C121" s="7">
        <v>73.08</v>
      </c>
      <c r="D121" s="7" t="s">
        <v>26</v>
      </c>
      <c r="E121" s="7" t="s">
        <v>393</v>
      </c>
      <c r="F121" s="7">
        <v>1.84138</v>
      </c>
      <c r="G121" s="7">
        <v>100.0</v>
      </c>
      <c r="H121" s="7" t="s">
        <v>15</v>
      </c>
      <c r="I121" s="7" t="s">
        <v>393</v>
      </c>
      <c r="J121" s="7">
        <v>1.79038</v>
      </c>
      <c r="K121" s="7">
        <v>100.0</v>
      </c>
      <c r="L121" s="7" t="s">
        <v>15</v>
      </c>
      <c r="M121" s="7" t="s">
        <v>394</v>
      </c>
      <c r="O121" s="7">
        <v>77.78</v>
      </c>
      <c r="P121" s="7" t="s">
        <v>26</v>
      </c>
      <c r="Q121" s="7" t="s">
        <v>393</v>
      </c>
      <c r="S121" s="7">
        <v>100.0</v>
      </c>
      <c r="T121" s="7" t="s">
        <v>15</v>
      </c>
    </row>
    <row r="122">
      <c r="A122" s="7" t="s">
        <v>395</v>
      </c>
      <c r="B122" s="7">
        <v>0.05717</v>
      </c>
      <c r="C122" s="7">
        <v>80.77</v>
      </c>
      <c r="D122" s="7" t="s">
        <v>26</v>
      </c>
      <c r="E122" s="7" t="s">
        <v>396</v>
      </c>
      <c r="F122" s="7">
        <v>2.24281</v>
      </c>
      <c r="G122" s="7">
        <v>100.0</v>
      </c>
      <c r="H122" s="7" t="s">
        <v>15</v>
      </c>
      <c r="I122" s="7" t="s">
        <v>396</v>
      </c>
      <c r="J122" s="7">
        <v>1.88258</v>
      </c>
      <c r="K122" s="7">
        <v>100.0</v>
      </c>
      <c r="L122" s="7" t="s">
        <v>15</v>
      </c>
      <c r="M122" s="7" t="s">
        <v>396</v>
      </c>
      <c r="O122" s="7">
        <v>100.0</v>
      </c>
      <c r="P122" s="7" t="s">
        <v>15</v>
      </c>
      <c r="Q122" s="7" t="s">
        <v>396</v>
      </c>
      <c r="S122" s="7">
        <v>100.0</v>
      </c>
      <c r="T122" s="7" t="s">
        <v>15</v>
      </c>
    </row>
    <row r="123">
      <c r="A123" s="7" t="s">
        <v>397</v>
      </c>
      <c r="B123" s="7">
        <v>0.05214</v>
      </c>
      <c r="C123" s="7">
        <v>83.87</v>
      </c>
      <c r="D123" s="7" t="s">
        <v>26</v>
      </c>
      <c r="E123" s="7" t="s">
        <v>398</v>
      </c>
      <c r="F123" s="7">
        <v>2.17554</v>
      </c>
      <c r="G123" s="7">
        <v>100.0</v>
      </c>
      <c r="H123" s="7" t="s">
        <v>15</v>
      </c>
      <c r="I123" s="7" t="s">
        <v>398</v>
      </c>
      <c r="J123" s="7">
        <v>1.74894</v>
      </c>
      <c r="K123" s="7">
        <v>100.0</v>
      </c>
      <c r="L123" s="7" t="s">
        <v>15</v>
      </c>
      <c r="M123" s="7" t="s">
        <v>398</v>
      </c>
      <c r="O123" s="7">
        <v>100.0</v>
      </c>
      <c r="P123" s="7" t="s">
        <v>15</v>
      </c>
      <c r="Q123" s="7" t="s">
        <v>398</v>
      </c>
      <c r="S123" s="7">
        <v>100.0</v>
      </c>
      <c r="T123" s="7" t="s">
        <v>15</v>
      </c>
    </row>
    <row r="124">
      <c r="A124" s="7" t="s">
        <v>399</v>
      </c>
      <c r="B124" s="7">
        <v>0.06359</v>
      </c>
      <c r="C124" s="7">
        <v>76.36</v>
      </c>
      <c r="D124" s="7" t="s">
        <v>26</v>
      </c>
      <c r="E124" s="7" t="s">
        <v>400</v>
      </c>
      <c r="F124" s="7">
        <v>2.05935</v>
      </c>
      <c r="G124" s="7">
        <v>82.14</v>
      </c>
      <c r="H124" s="7" t="s">
        <v>26</v>
      </c>
      <c r="I124" s="7" t="s">
        <v>400</v>
      </c>
      <c r="J124" s="7">
        <v>1.87008</v>
      </c>
      <c r="K124" s="7">
        <v>82.14</v>
      </c>
      <c r="L124" s="7" t="s">
        <v>26</v>
      </c>
      <c r="M124" s="7" t="s">
        <v>400</v>
      </c>
      <c r="O124" s="7">
        <v>82.14</v>
      </c>
      <c r="P124" s="7" t="s">
        <v>26</v>
      </c>
      <c r="Q124" s="7" t="s">
        <v>401</v>
      </c>
      <c r="S124" s="7">
        <v>100.0</v>
      </c>
      <c r="T124" s="7" t="s">
        <v>15</v>
      </c>
    </row>
    <row r="125">
      <c r="A125" s="7" t="s">
        <v>402</v>
      </c>
      <c r="B125" s="7">
        <v>0.08314</v>
      </c>
      <c r="C125" s="7">
        <v>77.19</v>
      </c>
      <c r="D125" s="7" t="s">
        <v>26</v>
      </c>
      <c r="E125" s="7" t="s">
        <v>403</v>
      </c>
      <c r="F125" s="7">
        <v>2.13905</v>
      </c>
      <c r="G125" s="7">
        <v>82.76</v>
      </c>
      <c r="H125" s="7" t="s">
        <v>26</v>
      </c>
      <c r="I125" s="7" t="s">
        <v>403</v>
      </c>
      <c r="J125" s="7">
        <v>1.92013</v>
      </c>
      <c r="K125" s="7">
        <v>82.76</v>
      </c>
      <c r="L125" s="7" t="s">
        <v>26</v>
      </c>
      <c r="M125" s="7" t="s">
        <v>403</v>
      </c>
      <c r="O125" s="7">
        <v>82.76</v>
      </c>
      <c r="P125" s="7" t="s">
        <v>26</v>
      </c>
      <c r="Q125" s="7" t="s">
        <v>404</v>
      </c>
      <c r="S125" s="7">
        <v>100.0</v>
      </c>
      <c r="T125" s="7" t="s">
        <v>15</v>
      </c>
    </row>
    <row r="126">
      <c r="A126" s="7" t="s">
        <v>405</v>
      </c>
      <c r="B126" s="7">
        <v>0.06872</v>
      </c>
      <c r="C126" s="7">
        <v>100.0</v>
      </c>
      <c r="D126" s="7" t="s">
        <v>15</v>
      </c>
      <c r="E126" s="7" t="s">
        <v>405</v>
      </c>
      <c r="F126" s="7">
        <v>2.04558</v>
      </c>
      <c r="G126" s="7">
        <v>100.0</v>
      </c>
      <c r="H126" s="7" t="s">
        <v>15</v>
      </c>
      <c r="I126" s="7" t="s">
        <v>405</v>
      </c>
      <c r="J126" s="7">
        <v>1.89328</v>
      </c>
      <c r="K126" s="7">
        <v>100.0</v>
      </c>
      <c r="L126" s="7" t="s">
        <v>15</v>
      </c>
      <c r="M126" s="7" t="s">
        <v>405</v>
      </c>
      <c r="O126" s="7">
        <v>100.0</v>
      </c>
      <c r="P126" s="7" t="s">
        <v>15</v>
      </c>
      <c r="Q126" s="7" t="s">
        <v>405</v>
      </c>
      <c r="S126" s="7">
        <v>100.0</v>
      </c>
      <c r="T126" s="7" t="s">
        <v>15</v>
      </c>
    </row>
    <row r="127">
      <c r="A127" s="7" t="s">
        <v>406</v>
      </c>
      <c r="B127" s="7">
        <v>0.08501</v>
      </c>
      <c r="C127" s="7">
        <v>100.0</v>
      </c>
      <c r="D127" s="7" t="s">
        <v>15</v>
      </c>
      <c r="E127" s="7" t="s">
        <v>406</v>
      </c>
      <c r="F127" s="7">
        <v>1.99465</v>
      </c>
      <c r="G127" s="7">
        <v>100.0</v>
      </c>
      <c r="H127" s="7" t="s">
        <v>15</v>
      </c>
      <c r="I127" s="7" t="s">
        <v>406</v>
      </c>
      <c r="J127" s="7">
        <v>1.88057</v>
      </c>
      <c r="K127" s="7">
        <v>100.0</v>
      </c>
      <c r="L127" s="7" t="s">
        <v>15</v>
      </c>
      <c r="M127" s="7" t="s">
        <v>406</v>
      </c>
      <c r="O127" s="7">
        <v>100.0</v>
      </c>
      <c r="P127" s="7" t="s">
        <v>15</v>
      </c>
      <c r="Q127" s="7" t="s">
        <v>406</v>
      </c>
      <c r="S127" s="7">
        <v>100.0</v>
      </c>
      <c r="T127" s="7" t="s">
        <v>15</v>
      </c>
    </row>
    <row r="128">
      <c r="A128" s="7" t="s">
        <v>407</v>
      </c>
      <c r="B128" s="7">
        <v>0.12865</v>
      </c>
      <c r="C128" s="7">
        <v>100.0</v>
      </c>
      <c r="D128" s="7" t="s">
        <v>15</v>
      </c>
      <c r="E128" s="7" t="s">
        <v>407</v>
      </c>
      <c r="F128" s="7">
        <v>1.92424</v>
      </c>
      <c r="G128" s="7">
        <v>100.0</v>
      </c>
      <c r="H128" s="7" t="s">
        <v>15</v>
      </c>
      <c r="I128" s="7" t="s">
        <v>407</v>
      </c>
      <c r="J128" s="7">
        <v>1.85176</v>
      </c>
      <c r="K128" s="7">
        <v>100.0</v>
      </c>
      <c r="L128" s="7" t="s">
        <v>15</v>
      </c>
      <c r="M128" s="7" t="s">
        <v>407</v>
      </c>
      <c r="O128" s="7">
        <v>100.0</v>
      </c>
      <c r="P128" s="7" t="s">
        <v>15</v>
      </c>
      <c r="Q128" s="7" t="s">
        <v>407</v>
      </c>
      <c r="S128" s="7">
        <v>100.0</v>
      </c>
      <c r="T128" s="7" t="s">
        <v>15</v>
      </c>
    </row>
    <row r="129">
      <c r="A129" s="7" t="s">
        <v>408</v>
      </c>
      <c r="B129" s="7">
        <v>0.05455</v>
      </c>
      <c r="C129" s="7">
        <v>100.0</v>
      </c>
      <c r="D129" s="7" t="s">
        <v>15</v>
      </c>
      <c r="E129" s="7" t="s">
        <v>408</v>
      </c>
      <c r="F129" s="7">
        <v>1.87754</v>
      </c>
      <c r="G129" s="7">
        <v>100.0</v>
      </c>
      <c r="H129" s="7" t="s">
        <v>15</v>
      </c>
      <c r="I129" s="7" t="s">
        <v>408</v>
      </c>
      <c r="J129" s="7">
        <v>1.98837</v>
      </c>
      <c r="K129" s="7">
        <v>100.0</v>
      </c>
      <c r="L129" s="7" t="s">
        <v>15</v>
      </c>
      <c r="M129" s="7" t="s">
        <v>408</v>
      </c>
      <c r="O129" s="7">
        <v>100.0</v>
      </c>
      <c r="P129" s="7" t="s">
        <v>15</v>
      </c>
      <c r="Q129" s="7" t="s">
        <v>408</v>
      </c>
      <c r="S129" s="7">
        <v>100.0</v>
      </c>
      <c r="T129" s="7" t="s">
        <v>15</v>
      </c>
    </row>
    <row r="130">
      <c r="A130" s="7" t="s">
        <v>409</v>
      </c>
      <c r="B130" s="7">
        <v>0.04113</v>
      </c>
      <c r="C130" s="7">
        <v>100.0</v>
      </c>
      <c r="D130" s="7" t="s">
        <v>15</v>
      </c>
      <c r="E130" s="7" t="s">
        <v>409</v>
      </c>
      <c r="F130" s="7">
        <v>1.93452</v>
      </c>
      <c r="G130" s="7">
        <v>100.0</v>
      </c>
      <c r="H130" s="7" t="s">
        <v>15</v>
      </c>
      <c r="I130" s="7" t="s">
        <v>409</v>
      </c>
      <c r="J130" s="7">
        <v>3.84822</v>
      </c>
      <c r="K130" s="7">
        <v>100.0</v>
      </c>
      <c r="L130" s="7" t="s">
        <v>15</v>
      </c>
      <c r="M130" s="7" t="s">
        <v>409</v>
      </c>
      <c r="O130" s="7">
        <v>100.0</v>
      </c>
      <c r="P130" s="7" t="s">
        <v>15</v>
      </c>
      <c r="Q130" s="7" t="s">
        <v>409</v>
      </c>
      <c r="S130" s="7">
        <v>100.0</v>
      </c>
      <c r="T130" s="7" t="s">
        <v>15</v>
      </c>
    </row>
    <row r="131">
      <c r="A131" s="7" t="s">
        <v>410</v>
      </c>
      <c r="B131" s="7">
        <v>0.05205</v>
      </c>
      <c r="C131" s="7">
        <v>45.0</v>
      </c>
      <c r="D131" s="7" t="s">
        <v>26</v>
      </c>
      <c r="E131" s="7" t="s">
        <v>411</v>
      </c>
      <c r="F131" s="7">
        <v>1.97706</v>
      </c>
      <c r="G131" s="7">
        <v>62.07</v>
      </c>
      <c r="H131" s="7" t="s">
        <v>26</v>
      </c>
      <c r="I131" s="7" t="s">
        <v>411</v>
      </c>
      <c r="J131" s="7">
        <v>2.15267</v>
      </c>
      <c r="K131" s="7">
        <v>62.07</v>
      </c>
      <c r="L131" s="7" t="s">
        <v>26</v>
      </c>
      <c r="M131" s="7" t="s">
        <v>412</v>
      </c>
      <c r="O131" s="7">
        <v>66.67</v>
      </c>
      <c r="P131" s="7" t="s">
        <v>26</v>
      </c>
      <c r="Q131" s="7" t="s">
        <v>413</v>
      </c>
      <c r="S131" s="7">
        <v>100.0</v>
      </c>
      <c r="T131" s="7" t="s">
        <v>15</v>
      </c>
    </row>
    <row r="132">
      <c r="A132" s="7" t="s">
        <v>414</v>
      </c>
      <c r="B132" s="7">
        <v>0.03308</v>
      </c>
      <c r="C132" s="7">
        <v>45.0</v>
      </c>
      <c r="D132" s="7" t="s">
        <v>26</v>
      </c>
      <c r="E132" s="7" t="s">
        <v>415</v>
      </c>
      <c r="F132" s="7">
        <v>2.02606</v>
      </c>
      <c r="G132" s="7">
        <v>58.06</v>
      </c>
      <c r="H132" s="7" t="s">
        <v>26</v>
      </c>
      <c r="I132" s="7" t="s">
        <v>416</v>
      </c>
      <c r="J132" s="7">
        <v>1.88819</v>
      </c>
      <c r="K132" s="7">
        <v>62.07</v>
      </c>
      <c r="L132" s="7" t="s">
        <v>26</v>
      </c>
      <c r="M132" s="7" t="s">
        <v>417</v>
      </c>
      <c r="O132" s="7">
        <v>66.67</v>
      </c>
      <c r="P132" s="7" t="s">
        <v>26</v>
      </c>
      <c r="Q132" s="7" t="s">
        <v>418</v>
      </c>
      <c r="S132" s="7">
        <v>100.0</v>
      </c>
      <c r="T132" s="7" t="s">
        <v>15</v>
      </c>
    </row>
    <row r="133">
      <c r="A133" s="7" t="s">
        <v>419</v>
      </c>
      <c r="B133" s="7">
        <v>0.06558</v>
      </c>
      <c r="C133" s="7">
        <v>45.0</v>
      </c>
      <c r="D133" s="7" t="s">
        <v>26</v>
      </c>
      <c r="E133" s="7" t="s">
        <v>420</v>
      </c>
      <c r="F133" s="7">
        <v>2.2907</v>
      </c>
      <c r="G133" s="7">
        <v>58.06</v>
      </c>
      <c r="H133" s="7" t="s">
        <v>26</v>
      </c>
      <c r="I133" s="7" t="s">
        <v>421</v>
      </c>
      <c r="J133" s="7">
        <v>4.97358</v>
      </c>
      <c r="K133" s="7">
        <v>62.07</v>
      </c>
      <c r="L133" s="7" t="s">
        <v>26</v>
      </c>
      <c r="M133" s="7" t="s">
        <v>422</v>
      </c>
      <c r="O133" s="7">
        <v>66.67</v>
      </c>
      <c r="P133" s="7" t="s">
        <v>26</v>
      </c>
      <c r="Q133" s="7" t="s">
        <v>423</v>
      </c>
      <c r="S133" s="7">
        <v>100.0</v>
      </c>
      <c r="T133" s="7" t="s">
        <v>15</v>
      </c>
    </row>
    <row r="134">
      <c r="A134" s="7" t="s">
        <v>424</v>
      </c>
      <c r="B134" s="7">
        <v>0.05931</v>
      </c>
      <c r="C134" s="7">
        <v>45.0</v>
      </c>
      <c r="D134" s="7" t="s">
        <v>26</v>
      </c>
      <c r="E134" s="7" t="s">
        <v>425</v>
      </c>
      <c r="F134" s="7">
        <v>2.14158</v>
      </c>
      <c r="G134" s="7">
        <v>58.06</v>
      </c>
      <c r="H134" s="7" t="s">
        <v>26</v>
      </c>
      <c r="I134" s="7" t="s">
        <v>426</v>
      </c>
      <c r="J134" s="7">
        <v>2.10956</v>
      </c>
      <c r="K134" s="7">
        <v>62.07</v>
      </c>
      <c r="L134" s="7" t="s">
        <v>26</v>
      </c>
      <c r="M134" s="7" t="s">
        <v>427</v>
      </c>
      <c r="O134" s="7">
        <v>66.67</v>
      </c>
      <c r="P134" s="7" t="s">
        <v>26</v>
      </c>
      <c r="Q134" s="7" t="s">
        <v>428</v>
      </c>
      <c r="S134" s="7">
        <v>100.0</v>
      </c>
      <c r="T134" s="7" t="s">
        <v>15</v>
      </c>
    </row>
    <row r="135">
      <c r="A135" s="7" t="s">
        <v>429</v>
      </c>
      <c r="B135" s="7">
        <v>0.0519</v>
      </c>
      <c r="C135" s="7">
        <v>45.0</v>
      </c>
      <c r="D135" s="7" t="s">
        <v>26</v>
      </c>
      <c r="E135" s="7" t="s">
        <v>430</v>
      </c>
      <c r="F135" s="7">
        <v>2.22139</v>
      </c>
      <c r="G135" s="7">
        <v>58.06</v>
      </c>
      <c r="H135" s="7" t="s">
        <v>26</v>
      </c>
      <c r="I135" s="7" t="s">
        <v>431</v>
      </c>
      <c r="J135" s="7">
        <v>2.20682</v>
      </c>
      <c r="K135" s="7">
        <v>62.07</v>
      </c>
      <c r="L135" s="7" t="s">
        <v>26</v>
      </c>
      <c r="M135" s="7" t="s">
        <v>432</v>
      </c>
      <c r="O135" s="7">
        <v>66.67</v>
      </c>
      <c r="P135" s="7" t="s">
        <v>26</v>
      </c>
      <c r="Q135" s="7" t="s">
        <v>433</v>
      </c>
      <c r="S135" s="7">
        <v>100.0</v>
      </c>
      <c r="T135" s="7" t="s">
        <v>15</v>
      </c>
    </row>
    <row r="136">
      <c r="A136" s="7" t="s">
        <v>434</v>
      </c>
      <c r="B136" s="7">
        <v>0.06787</v>
      </c>
      <c r="C136" s="7">
        <v>70.0</v>
      </c>
      <c r="D136" s="7" t="s">
        <v>26</v>
      </c>
      <c r="E136" s="7" t="s">
        <v>435</v>
      </c>
      <c r="F136" s="7">
        <v>2.03451</v>
      </c>
      <c r="G136" s="7">
        <v>70.0</v>
      </c>
      <c r="H136" s="7" t="s">
        <v>26</v>
      </c>
      <c r="I136" s="7" t="s">
        <v>435</v>
      </c>
      <c r="J136" s="7">
        <v>2.01543</v>
      </c>
      <c r="K136" s="7">
        <v>70.0</v>
      </c>
      <c r="L136" s="7" t="s">
        <v>26</v>
      </c>
      <c r="M136" s="7" t="s">
        <v>435</v>
      </c>
      <c r="O136" s="7">
        <v>70.0</v>
      </c>
      <c r="P136" s="7" t="s">
        <v>26</v>
      </c>
      <c r="Q136" s="7" t="s">
        <v>435</v>
      </c>
      <c r="S136" s="7">
        <v>70.0</v>
      </c>
      <c r="T136" s="7" t="s">
        <v>26</v>
      </c>
    </row>
    <row r="137">
      <c r="A137" s="7" t="s">
        <v>436</v>
      </c>
      <c r="B137" s="7">
        <v>0.05784</v>
      </c>
      <c r="C137" s="7">
        <v>70.97</v>
      </c>
      <c r="D137" s="7" t="s">
        <v>26</v>
      </c>
      <c r="E137" s="7" t="s">
        <v>437</v>
      </c>
      <c r="F137" s="7">
        <v>2.18316</v>
      </c>
      <c r="G137" s="7">
        <v>70.97</v>
      </c>
      <c r="H137" s="7" t="s">
        <v>26</v>
      </c>
      <c r="I137" s="7" t="s">
        <v>437</v>
      </c>
      <c r="J137" s="7">
        <v>1.91908</v>
      </c>
      <c r="K137" s="7">
        <v>70.97</v>
      </c>
      <c r="L137" s="7" t="s">
        <v>26</v>
      </c>
      <c r="M137" s="7" t="s">
        <v>437</v>
      </c>
      <c r="O137" s="7">
        <v>70.97</v>
      </c>
      <c r="P137" s="7" t="s">
        <v>26</v>
      </c>
      <c r="Q137" s="7" t="s">
        <v>437</v>
      </c>
      <c r="S137" s="7">
        <v>70.97</v>
      </c>
      <c r="T137" s="7" t="s">
        <v>26</v>
      </c>
    </row>
    <row r="138">
      <c r="A138" s="7" t="s">
        <v>438</v>
      </c>
      <c r="B138" s="7">
        <v>0.12733</v>
      </c>
      <c r="C138" s="7">
        <v>66.67</v>
      </c>
      <c r="D138" s="7" t="s">
        <v>26</v>
      </c>
      <c r="E138" s="7" t="s">
        <v>439</v>
      </c>
      <c r="F138" s="7">
        <v>2.03397</v>
      </c>
      <c r="G138" s="7">
        <v>66.67</v>
      </c>
      <c r="H138" s="7" t="s">
        <v>26</v>
      </c>
      <c r="I138" s="7" t="s">
        <v>439</v>
      </c>
      <c r="J138" s="7">
        <v>2.06367</v>
      </c>
      <c r="K138" s="7">
        <v>66.67</v>
      </c>
      <c r="L138" s="7" t="s">
        <v>26</v>
      </c>
      <c r="M138" s="7" t="s">
        <v>439</v>
      </c>
      <c r="O138" s="7">
        <v>66.67</v>
      </c>
      <c r="P138" s="7" t="s">
        <v>26</v>
      </c>
      <c r="Q138" s="7" t="s">
        <v>439</v>
      </c>
      <c r="S138" s="7">
        <v>66.67</v>
      </c>
      <c r="T138" s="7" t="s">
        <v>26</v>
      </c>
    </row>
    <row r="139">
      <c r="A139" s="7" t="s">
        <v>440</v>
      </c>
      <c r="B139" s="7">
        <v>0.07903</v>
      </c>
      <c r="C139" s="7">
        <v>100.0</v>
      </c>
      <c r="D139" s="7" t="s">
        <v>15</v>
      </c>
      <c r="E139" s="7" t="s">
        <v>441</v>
      </c>
      <c r="F139" s="7">
        <v>1.92542</v>
      </c>
      <c r="G139" s="7">
        <v>100.0</v>
      </c>
      <c r="H139" s="7" t="s">
        <v>15</v>
      </c>
      <c r="I139" s="7" t="s">
        <v>441</v>
      </c>
      <c r="J139" s="7">
        <v>2.31746</v>
      </c>
      <c r="K139" s="7">
        <v>100.0</v>
      </c>
      <c r="L139" s="7" t="s">
        <v>15</v>
      </c>
      <c r="M139" s="7" t="s">
        <v>441</v>
      </c>
      <c r="O139" s="7">
        <v>100.0</v>
      </c>
      <c r="P139" s="7" t="s">
        <v>15</v>
      </c>
      <c r="Q139" s="7" t="s">
        <v>441</v>
      </c>
      <c r="S139" s="7">
        <v>100.0</v>
      </c>
      <c r="T139" s="7" t="s">
        <v>15</v>
      </c>
    </row>
    <row r="140">
      <c r="A140" s="7" t="s">
        <v>442</v>
      </c>
      <c r="B140" s="7">
        <v>0.05992</v>
      </c>
      <c r="C140" s="7">
        <v>100.0</v>
      </c>
      <c r="D140" s="7" t="s">
        <v>15</v>
      </c>
      <c r="E140" s="7" t="s">
        <v>443</v>
      </c>
      <c r="F140" s="7">
        <v>1.87311</v>
      </c>
      <c r="G140" s="7">
        <v>100.0</v>
      </c>
      <c r="H140" s="7" t="s">
        <v>15</v>
      </c>
      <c r="I140" s="7" t="s">
        <v>443</v>
      </c>
      <c r="J140" s="7">
        <v>2.78644</v>
      </c>
      <c r="K140" s="7">
        <v>100.0</v>
      </c>
      <c r="L140" s="7" t="s">
        <v>15</v>
      </c>
      <c r="M140" s="7" t="s">
        <v>443</v>
      </c>
      <c r="O140" s="7">
        <v>100.0</v>
      </c>
      <c r="P140" s="7" t="s">
        <v>15</v>
      </c>
      <c r="Q140" s="7" t="s">
        <v>443</v>
      </c>
      <c r="S140" s="7">
        <v>100.0</v>
      </c>
      <c r="T140" s="7" t="s">
        <v>15</v>
      </c>
    </row>
    <row r="141">
      <c r="A141" s="7" t="s">
        <v>444</v>
      </c>
      <c r="B141" s="7">
        <v>0.03374</v>
      </c>
      <c r="C141" s="7">
        <v>100.0</v>
      </c>
      <c r="D141" s="7" t="s">
        <v>15</v>
      </c>
      <c r="E141" s="7" t="s">
        <v>445</v>
      </c>
      <c r="F141" s="7">
        <v>2.45641</v>
      </c>
      <c r="G141" s="7">
        <v>100.0</v>
      </c>
      <c r="H141" s="7" t="s">
        <v>15</v>
      </c>
      <c r="I141" s="7" t="s">
        <v>444</v>
      </c>
      <c r="J141" s="7">
        <v>2.19854</v>
      </c>
      <c r="K141" s="7">
        <v>100.0</v>
      </c>
      <c r="L141" s="7" t="s">
        <v>15</v>
      </c>
      <c r="M141" s="7" t="s">
        <v>445</v>
      </c>
      <c r="O141" s="7">
        <v>100.0</v>
      </c>
      <c r="P141" s="7" t="s">
        <v>15</v>
      </c>
      <c r="Q141" s="7" t="s">
        <v>445</v>
      </c>
      <c r="S141" s="7">
        <v>100.0</v>
      </c>
      <c r="T141" s="7" t="s">
        <v>15</v>
      </c>
    </row>
    <row r="142">
      <c r="A142" s="7" t="s">
        <v>446</v>
      </c>
      <c r="B142" s="7">
        <v>0.08114</v>
      </c>
      <c r="C142" s="7">
        <v>100.0</v>
      </c>
      <c r="D142" s="7" t="s">
        <v>15</v>
      </c>
      <c r="E142" s="7" t="s">
        <v>447</v>
      </c>
      <c r="F142" s="7">
        <v>1.89057</v>
      </c>
      <c r="G142" s="7">
        <v>100.0</v>
      </c>
      <c r="H142" s="7" t="s">
        <v>15</v>
      </c>
      <c r="I142" s="7" t="s">
        <v>447</v>
      </c>
      <c r="J142" s="7">
        <v>1.90633</v>
      </c>
      <c r="K142" s="7">
        <v>100.0</v>
      </c>
      <c r="L142" s="7" t="s">
        <v>15</v>
      </c>
      <c r="M142" s="7" t="s">
        <v>447</v>
      </c>
      <c r="O142" s="7">
        <v>100.0</v>
      </c>
      <c r="P142" s="7" t="s">
        <v>15</v>
      </c>
      <c r="Q142" s="7" t="s">
        <v>447</v>
      </c>
      <c r="S142" s="7">
        <v>100.0</v>
      </c>
      <c r="T142" s="7" t="s">
        <v>15</v>
      </c>
    </row>
    <row r="143">
      <c r="A143" s="7" t="s">
        <v>440</v>
      </c>
      <c r="B143" s="7">
        <v>0.0391</v>
      </c>
      <c r="C143" s="7">
        <v>100.0</v>
      </c>
      <c r="D143" s="7" t="s">
        <v>15</v>
      </c>
      <c r="E143" s="7" t="s">
        <v>441</v>
      </c>
      <c r="F143" s="7">
        <v>1.91113</v>
      </c>
      <c r="G143" s="7">
        <v>100.0</v>
      </c>
      <c r="H143" s="7" t="s">
        <v>15</v>
      </c>
      <c r="I143" s="7" t="s">
        <v>441</v>
      </c>
      <c r="J143" s="7">
        <v>1.79192</v>
      </c>
      <c r="K143" s="7">
        <v>100.0</v>
      </c>
      <c r="L143" s="7" t="s">
        <v>15</v>
      </c>
      <c r="M143" s="7" t="s">
        <v>441</v>
      </c>
      <c r="O143" s="7">
        <v>100.0</v>
      </c>
      <c r="P143" s="7" t="s">
        <v>15</v>
      </c>
      <c r="Q143" s="7" t="s">
        <v>441</v>
      </c>
      <c r="S143" s="7">
        <v>100.0</v>
      </c>
      <c r="T143" s="7" t="s">
        <v>15</v>
      </c>
    </row>
    <row r="144">
      <c r="A144" s="7" t="s">
        <v>448</v>
      </c>
      <c r="B144" s="7">
        <v>0.05419</v>
      </c>
      <c r="C144" s="7">
        <v>62.96</v>
      </c>
      <c r="D144" s="7" t="s">
        <v>26</v>
      </c>
      <c r="E144" s="7" t="s">
        <v>449</v>
      </c>
      <c r="F144" s="7">
        <v>2.31546</v>
      </c>
      <c r="G144" s="7">
        <v>81.82</v>
      </c>
      <c r="H144" s="7" t="s">
        <v>99</v>
      </c>
      <c r="I144" s="7" t="s">
        <v>450</v>
      </c>
      <c r="J144" s="7">
        <v>1.95397</v>
      </c>
      <c r="K144" s="7">
        <v>65.67</v>
      </c>
      <c r="L144" s="7" t="s">
        <v>26</v>
      </c>
      <c r="M144" s="7" t="s">
        <v>451</v>
      </c>
      <c r="O144" s="7">
        <v>78.79</v>
      </c>
      <c r="P144" s="7" t="s">
        <v>26</v>
      </c>
      <c r="Q144" s="7" t="s">
        <v>451</v>
      </c>
      <c r="S144" s="7">
        <v>78.79</v>
      </c>
      <c r="T144" s="7" t="s">
        <v>26</v>
      </c>
    </row>
    <row r="145">
      <c r="A145" s="7" t="s">
        <v>452</v>
      </c>
      <c r="B145" s="7">
        <v>0.03285</v>
      </c>
      <c r="C145" s="7">
        <v>48.0</v>
      </c>
      <c r="D145" s="7" t="s">
        <v>26</v>
      </c>
      <c r="E145" s="7" t="s">
        <v>453</v>
      </c>
      <c r="F145" s="7">
        <v>2.06501</v>
      </c>
      <c r="G145" s="7">
        <v>55.0</v>
      </c>
      <c r="H145" s="7" t="s">
        <v>26</v>
      </c>
      <c r="I145" s="7" t="s">
        <v>453</v>
      </c>
      <c r="J145" s="7">
        <v>4.10525</v>
      </c>
      <c r="K145" s="7">
        <v>55.0</v>
      </c>
      <c r="L145" s="7" t="s">
        <v>26</v>
      </c>
      <c r="M145" s="7" t="s">
        <v>453</v>
      </c>
      <c r="O145" s="7">
        <v>55.0</v>
      </c>
      <c r="P145" s="7" t="s">
        <v>26</v>
      </c>
      <c r="Q145" s="7" t="s">
        <v>453</v>
      </c>
      <c r="S145" s="7">
        <v>55.0</v>
      </c>
      <c r="T145" s="7" t="s">
        <v>26</v>
      </c>
    </row>
    <row r="146">
      <c r="A146" s="7" t="s">
        <v>454</v>
      </c>
      <c r="B146" s="7">
        <v>0.03815</v>
      </c>
      <c r="C146" s="7">
        <v>90.48</v>
      </c>
      <c r="D146" s="7" t="s">
        <v>26</v>
      </c>
      <c r="E146" s="7" t="s">
        <v>455</v>
      </c>
      <c r="F146" s="7">
        <v>2.03612</v>
      </c>
      <c r="G146" s="7">
        <v>90.48</v>
      </c>
      <c r="H146" s="7" t="s">
        <v>26</v>
      </c>
      <c r="I146" s="7" t="s">
        <v>454</v>
      </c>
      <c r="J146" s="7">
        <v>1.99644</v>
      </c>
      <c r="K146" s="7">
        <v>90.48</v>
      </c>
      <c r="L146" s="7" t="s">
        <v>26</v>
      </c>
      <c r="M146" s="7" t="s">
        <v>455</v>
      </c>
      <c r="O146" s="7">
        <v>90.48</v>
      </c>
      <c r="P146" s="7" t="s">
        <v>26</v>
      </c>
      <c r="Q146" s="7" t="s">
        <v>455</v>
      </c>
      <c r="S146" s="7">
        <v>90.48</v>
      </c>
      <c r="T146" s="7" t="s">
        <v>26</v>
      </c>
    </row>
    <row r="147">
      <c r="A147" s="7" t="s">
        <v>456</v>
      </c>
      <c r="B147" s="7">
        <v>0.50498</v>
      </c>
      <c r="C147" s="7">
        <v>95.24</v>
      </c>
      <c r="D147" s="7" t="s">
        <v>26</v>
      </c>
      <c r="E147" s="7" t="s">
        <v>456</v>
      </c>
      <c r="F147" s="7">
        <v>1.99153</v>
      </c>
      <c r="G147" s="7">
        <v>95.24</v>
      </c>
      <c r="H147" s="7" t="s">
        <v>26</v>
      </c>
      <c r="I147" s="7" t="s">
        <v>456</v>
      </c>
      <c r="J147" s="7">
        <v>2.19429</v>
      </c>
      <c r="K147" s="7">
        <v>95.24</v>
      </c>
      <c r="L147" s="7" t="s">
        <v>26</v>
      </c>
      <c r="M147" s="7" t="s">
        <v>457</v>
      </c>
      <c r="O147" s="7">
        <v>95.24</v>
      </c>
      <c r="P147" s="7" t="s">
        <v>26</v>
      </c>
      <c r="Q147" s="7" t="s">
        <v>457</v>
      </c>
      <c r="S147" s="7">
        <v>95.24</v>
      </c>
      <c r="T147" s="7" t="s">
        <v>26</v>
      </c>
    </row>
    <row r="148">
      <c r="A148" s="7" t="s">
        <v>458</v>
      </c>
      <c r="B148" s="7">
        <v>0.05989</v>
      </c>
      <c r="C148" s="7">
        <v>95.12</v>
      </c>
      <c r="D148" s="7" t="s">
        <v>26</v>
      </c>
      <c r="E148" s="7" t="s">
        <v>458</v>
      </c>
      <c r="F148" s="7">
        <v>1.72077</v>
      </c>
      <c r="G148" s="7">
        <v>95.12</v>
      </c>
      <c r="H148" s="7" t="s">
        <v>26</v>
      </c>
      <c r="I148" s="7" t="s">
        <v>458</v>
      </c>
      <c r="J148" s="7">
        <v>2.45203</v>
      </c>
      <c r="K148" s="7">
        <v>95.12</v>
      </c>
      <c r="L148" s="7" t="s">
        <v>26</v>
      </c>
      <c r="M148" s="7" t="s">
        <v>459</v>
      </c>
      <c r="O148" s="7">
        <v>95.12</v>
      </c>
      <c r="P148" s="7" t="s">
        <v>26</v>
      </c>
      <c r="Q148" s="7" t="s">
        <v>459</v>
      </c>
      <c r="S148" s="7">
        <v>95.12</v>
      </c>
      <c r="T148" s="7" t="s">
        <v>26</v>
      </c>
    </row>
    <row r="149">
      <c r="A149" s="7" t="s">
        <v>460</v>
      </c>
      <c r="B149" s="7">
        <v>0.06076</v>
      </c>
      <c r="C149" s="7">
        <v>95.12</v>
      </c>
      <c r="D149" s="7" t="s">
        <v>26</v>
      </c>
      <c r="E149" s="7" t="s">
        <v>461</v>
      </c>
      <c r="F149" s="7">
        <v>2.09045</v>
      </c>
      <c r="G149" s="7">
        <v>95.12</v>
      </c>
      <c r="H149" s="7" t="s">
        <v>26</v>
      </c>
      <c r="I149" s="7" t="s">
        <v>460</v>
      </c>
      <c r="J149" s="7">
        <v>2.0641</v>
      </c>
      <c r="K149" s="7">
        <v>95.12</v>
      </c>
      <c r="L149" s="7" t="s">
        <v>26</v>
      </c>
      <c r="M149" s="7" t="s">
        <v>461</v>
      </c>
      <c r="O149" s="7">
        <v>95.12</v>
      </c>
      <c r="P149" s="7" t="s">
        <v>26</v>
      </c>
      <c r="Q149" s="7" t="s">
        <v>461</v>
      </c>
      <c r="S149" s="7">
        <v>95.12</v>
      </c>
      <c r="T149" s="7" t="s">
        <v>26</v>
      </c>
    </row>
    <row r="150">
      <c r="A150" s="7" t="s">
        <v>462</v>
      </c>
      <c r="B150" s="7">
        <v>0.05914</v>
      </c>
      <c r="C150" s="7">
        <v>95.12</v>
      </c>
      <c r="D150" s="7" t="s">
        <v>26</v>
      </c>
      <c r="E150" s="7" t="s">
        <v>462</v>
      </c>
      <c r="F150" s="7">
        <v>2.0072</v>
      </c>
      <c r="G150" s="7">
        <v>95.12</v>
      </c>
      <c r="H150" s="7" t="s">
        <v>26</v>
      </c>
      <c r="I150" s="7" t="s">
        <v>462</v>
      </c>
      <c r="J150" s="7">
        <v>1.97794</v>
      </c>
      <c r="K150" s="7">
        <v>95.12</v>
      </c>
      <c r="L150" s="7" t="s">
        <v>26</v>
      </c>
      <c r="M150" s="7" t="s">
        <v>463</v>
      </c>
      <c r="O150" s="7">
        <v>95.12</v>
      </c>
      <c r="P150" s="7" t="s">
        <v>26</v>
      </c>
      <c r="Q150" s="7" t="s">
        <v>463</v>
      </c>
      <c r="S150" s="7">
        <v>95.12</v>
      </c>
      <c r="T150" s="7" t="s">
        <v>26</v>
      </c>
    </row>
    <row r="151">
      <c r="A151" s="7" t="s">
        <v>464</v>
      </c>
      <c r="B151" s="7">
        <v>0.06777</v>
      </c>
      <c r="C151" s="7">
        <v>100.0</v>
      </c>
      <c r="D151" s="7" t="s">
        <v>15</v>
      </c>
      <c r="E151" s="7" t="s">
        <v>464</v>
      </c>
      <c r="F151" s="7">
        <v>1.90587</v>
      </c>
      <c r="G151" s="7">
        <v>100.0</v>
      </c>
      <c r="H151" s="7" t="s">
        <v>15</v>
      </c>
      <c r="I151" s="7" t="s">
        <v>465</v>
      </c>
      <c r="J151" s="7">
        <v>2.43517</v>
      </c>
      <c r="K151" s="7">
        <v>79.31</v>
      </c>
      <c r="L151" s="7" t="s">
        <v>26</v>
      </c>
      <c r="M151" s="7" t="s">
        <v>466</v>
      </c>
      <c r="O151" s="7">
        <v>100.0</v>
      </c>
      <c r="P151" s="7" t="s">
        <v>15</v>
      </c>
      <c r="Q151" s="7" t="s">
        <v>466</v>
      </c>
      <c r="S151" s="7">
        <v>100.0</v>
      </c>
      <c r="T151" s="7" t="s">
        <v>15</v>
      </c>
    </row>
    <row r="152">
      <c r="A152" s="7" t="s">
        <v>467</v>
      </c>
      <c r="B152" s="7">
        <v>0.07197</v>
      </c>
      <c r="C152" s="7">
        <v>100.0</v>
      </c>
      <c r="D152" s="7" t="s">
        <v>15</v>
      </c>
      <c r="E152" s="7" t="s">
        <v>467</v>
      </c>
      <c r="F152" s="7">
        <v>1.96701</v>
      </c>
      <c r="G152" s="7">
        <v>100.0</v>
      </c>
      <c r="H152" s="7" t="s">
        <v>15</v>
      </c>
      <c r="I152" s="7" t="s">
        <v>467</v>
      </c>
      <c r="J152" s="7">
        <v>1.98262</v>
      </c>
      <c r="K152" s="7">
        <v>100.0</v>
      </c>
      <c r="L152" s="7" t="s">
        <v>15</v>
      </c>
      <c r="M152" s="7" t="s">
        <v>468</v>
      </c>
      <c r="O152" s="7">
        <v>100.0</v>
      </c>
      <c r="P152" s="7" t="s">
        <v>15</v>
      </c>
      <c r="Q152" s="7" t="s">
        <v>468</v>
      </c>
      <c r="S152" s="7">
        <v>100.0</v>
      </c>
      <c r="T152" s="7" t="s">
        <v>15</v>
      </c>
    </row>
    <row r="153">
      <c r="A153" s="7" t="s">
        <v>469</v>
      </c>
      <c r="B153" s="7">
        <v>0.05777</v>
      </c>
      <c r="C153" s="7">
        <v>100.0</v>
      </c>
      <c r="D153" s="7" t="s">
        <v>15</v>
      </c>
      <c r="E153" s="7" t="s">
        <v>469</v>
      </c>
      <c r="F153" s="7">
        <v>1.90015</v>
      </c>
      <c r="G153" s="7">
        <v>100.0</v>
      </c>
      <c r="H153" s="7" t="s">
        <v>15</v>
      </c>
      <c r="I153" s="7" t="s">
        <v>469</v>
      </c>
      <c r="J153" s="7">
        <v>1.69207</v>
      </c>
      <c r="K153" s="7">
        <v>100.0</v>
      </c>
      <c r="L153" s="7" t="s">
        <v>15</v>
      </c>
      <c r="M153" s="7" t="s">
        <v>470</v>
      </c>
      <c r="O153" s="7">
        <v>100.0</v>
      </c>
      <c r="P153" s="7" t="s">
        <v>15</v>
      </c>
      <c r="Q153" s="7" t="s">
        <v>470</v>
      </c>
      <c r="S153" s="7">
        <v>100.0</v>
      </c>
      <c r="T153" s="7" t="s">
        <v>15</v>
      </c>
    </row>
    <row r="154">
      <c r="A154" s="7" t="s">
        <v>471</v>
      </c>
      <c r="B154" s="7">
        <v>0.07026</v>
      </c>
      <c r="C154" s="7">
        <v>100.0</v>
      </c>
      <c r="D154" s="7" t="s">
        <v>15</v>
      </c>
      <c r="E154" s="7" t="s">
        <v>471</v>
      </c>
      <c r="F154" s="7">
        <v>1.6766</v>
      </c>
      <c r="G154" s="7">
        <v>100.0</v>
      </c>
      <c r="H154" s="7" t="s">
        <v>15</v>
      </c>
      <c r="I154" s="7" t="s">
        <v>472</v>
      </c>
      <c r="J154" s="7">
        <v>2.20566</v>
      </c>
      <c r="K154" s="7">
        <v>78.57</v>
      </c>
      <c r="L154" s="7" t="s">
        <v>26</v>
      </c>
      <c r="M154" s="7" t="s">
        <v>473</v>
      </c>
      <c r="O154" s="7">
        <v>100.0</v>
      </c>
      <c r="P154" s="7" t="s">
        <v>15</v>
      </c>
      <c r="Q154" s="7" t="s">
        <v>473</v>
      </c>
      <c r="S154" s="7">
        <v>100.0</v>
      </c>
      <c r="T154" s="7" t="s">
        <v>15</v>
      </c>
    </row>
    <row r="155">
      <c r="A155" s="7" t="s">
        <v>474</v>
      </c>
      <c r="B155" s="7">
        <v>0.04776</v>
      </c>
      <c r="C155" s="7">
        <v>100.0</v>
      </c>
      <c r="D155" s="7" t="s">
        <v>15</v>
      </c>
      <c r="E155" s="7" t="s">
        <v>475</v>
      </c>
      <c r="F155" s="7">
        <v>1.99637</v>
      </c>
      <c r="G155" s="7">
        <v>100.0</v>
      </c>
      <c r="H155" s="7" t="s">
        <v>15</v>
      </c>
      <c r="I155" s="7" t="s">
        <v>474</v>
      </c>
      <c r="J155" s="7">
        <v>2.4196</v>
      </c>
      <c r="K155" s="7">
        <v>100.0</v>
      </c>
      <c r="L155" s="7" t="s">
        <v>15</v>
      </c>
      <c r="M155" s="7" t="s">
        <v>475</v>
      </c>
      <c r="O155" s="7">
        <v>100.0</v>
      </c>
      <c r="P155" s="7" t="s">
        <v>15</v>
      </c>
      <c r="Q155" s="7" t="s">
        <v>475</v>
      </c>
      <c r="S155" s="7">
        <v>100.0</v>
      </c>
      <c r="T155" s="7" t="s">
        <v>15</v>
      </c>
    </row>
    <row r="156">
      <c r="A156" s="7" t="s">
        <v>476</v>
      </c>
      <c r="B156" s="7">
        <v>0.07154</v>
      </c>
      <c r="C156" s="7">
        <v>100.0</v>
      </c>
      <c r="D156" s="7" t="s">
        <v>15</v>
      </c>
      <c r="E156" s="7" t="s">
        <v>476</v>
      </c>
      <c r="F156" s="7">
        <v>2.03842</v>
      </c>
      <c r="G156" s="7">
        <v>100.0</v>
      </c>
      <c r="H156" s="7" t="s">
        <v>15</v>
      </c>
      <c r="I156" s="7" t="s">
        <v>476</v>
      </c>
      <c r="J156" s="7">
        <v>1.98648</v>
      </c>
      <c r="K156" s="7">
        <v>100.0</v>
      </c>
      <c r="L156" s="7" t="s">
        <v>15</v>
      </c>
      <c r="M156" s="7" t="s">
        <v>477</v>
      </c>
      <c r="O156" s="7">
        <v>100.0</v>
      </c>
      <c r="P156" s="7" t="s">
        <v>15</v>
      </c>
      <c r="Q156" s="7" t="s">
        <v>477</v>
      </c>
      <c r="S156" s="7">
        <v>100.0</v>
      </c>
      <c r="T156" s="7" t="s">
        <v>15</v>
      </c>
    </row>
    <row r="157">
      <c r="A157" s="7" t="s">
        <v>478</v>
      </c>
      <c r="B157" s="7">
        <v>0.06511</v>
      </c>
      <c r="C157" s="7">
        <v>100.0</v>
      </c>
      <c r="D157" s="7" t="s">
        <v>15</v>
      </c>
      <c r="E157" s="7" t="s">
        <v>479</v>
      </c>
      <c r="F157" s="7">
        <v>1.88377</v>
      </c>
      <c r="G157" s="7">
        <v>100.0</v>
      </c>
      <c r="H157" s="7" t="s">
        <v>15</v>
      </c>
      <c r="I157" s="7" t="s">
        <v>478</v>
      </c>
      <c r="J157" s="7">
        <v>2.40469</v>
      </c>
      <c r="K157" s="7">
        <v>100.0</v>
      </c>
      <c r="L157" s="7" t="s">
        <v>15</v>
      </c>
      <c r="M157" s="7" t="s">
        <v>479</v>
      </c>
      <c r="O157" s="7">
        <v>100.0</v>
      </c>
      <c r="P157" s="7" t="s">
        <v>15</v>
      </c>
      <c r="Q157" s="7" t="s">
        <v>479</v>
      </c>
      <c r="S157" s="7">
        <v>100.0</v>
      </c>
      <c r="T157" s="7" t="s">
        <v>15</v>
      </c>
    </row>
    <row r="158">
      <c r="A158" s="7" t="s">
        <v>480</v>
      </c>
      <c r="B158" s="7">
        <v>0.08419</v>
      </c>
      <c r="C158" s="7">
        <v>100.0</v>
      </c>
      <c r="D158" s="7" t="s">
        <v>15</v>
      </c>
      <c r="E158" s="7" t="s">
        <v>481</v>
      </c>
      <c r="F158" s="7">
        <v>2.09655</v>
      </c>
      <c r="G158" s="7">
        <v>100.0</v>
      </c>
      <c r="H158" s="7" t="s">
        <v>15</v>
      </c>
      <c r="I158" s="7" t="s">
        <v>480</v>
      </c>
      <c r="J158" s="7">
        <v>1.91577</v>
      </c>
      <c r="K158" s="7">
        <v>100.0</v>
      </c>
      <c r="L158" s="7" t="s">
        <v>15</v>
      </c>
      <c r="M158" s="7" t="s">
        <v>481</v>
      </c>
      <c r="O158" s="7">
        <v>100.0</v>
      </c>
      <c r="P158" s="7" t="s">
        <v>15</v>
      </c>
      <c r="Q158" s="7" t="s">
        <v>481</v>
      </c>
      <c r="S158" s="7">
        <v>100.0</v>
      </c>
      <c r="T158" s="7" t="s">
        <v>15</v>
      </c>
    </row>
    <row r="159">
      <c r="A159" s="7" t="s">
        <v>482</v>
      </c>
      <c r="B159" s="7">
        <v>0.0622</v>
      </c>
      <c r="C159" s="7">
        <v>79.07</v>
      </c>
      <c r="D159" s="7" t="s">
        <v>26</v>
      </c>
      <c r="E159" s="7" t="s">
        <v>483</v>
      </c>
      <c r="F159" s="7">
        <v>1.68639</v>
      </c>
      <c r="G159" s="7">
        <v>64.71</v>
      </c>
      <c r="H159" s="7" t="s">
        <v>26</v>
      </c>
      <c r="I159" s="7" t="s">
        <v>483</v>
      </c>
      <c r="J159" s="7">
        <v>2.68009</v>
      </c>
      <c r="K159" s="7">
        <v>64.71</v>
      </c>
      <c r="L159" s="7" t="s">
        <v>26</v>
      </c>
      <c r="M159" s="7" t="s">
        <v>484</v>
      </c>
      <c r="O159" s="7">
        <v>80.0</v>
      </c>
      <c r="P159" s="7" t="s">
        <v>26</v>
      </c>
      <c r="Q159" s="7" t="s">
        <v>484</v>
      </c>
      <c r="S159" s="7">
        <v>80.0</v>
      </c>
      <c r="T159" s="7" t="s">
        <v>26</v>
      </c>
    </row>
    <row r="160">
      <c r="A160" s="7" t="s">
        <v>485</v>
      </c>
      <c r="B160" s="7">
        <v>0.06146</v>
      </c>
      <c r="C160" s="7">
        <v>80.0</v>
      </c>
      <c r="D160" s="7" t="s">
        <v>26</v>
      </c>
      <c r="E160" s="7" t="s">
        <v>486</v>
      </c>
      <c r="F160" s="7">
        <v>1.96743</v>
      </c>
      <c r="G160" s="7">
        <v>66.67</v>
      </c>
      <c r="H160" s="7" t="s">
        <v>26</v>
      </c>
      <c r="I160" s="7" t="s">
        <v>486</v>
      </c>
      <c r="J160" s="7">
        <v>2.46574</v>
      </c>
      <c r="K160" s="7">
        <v>66.67</v>
      </c>
      <c r="L160" s="7" t="s">
        <v>26</v>
      </c>
      <c r="M160" s="7" t="s">
        <v>487</v>
      </c>
      <c r="O160" s="7">
        <v>80.95</v>
      </c>
      <c r="P160" s="7" t="s">
        <v>26</v>
      </c>
      <c r="Q160" s="7" t="s">
        <v>487</v>
      </c>
      <c r="S160" s="7">
        <v>80.95</v>
      </c>
      <c r="T160" s="7" t="s">
        <v>26</v>
      </c>
    </row>
    <row r="161">
      <c r="A161" s="7" t="s">
        <v>488</v>
      </c>
      <c r="B161" s="7">
        <v>0.27513</v>
      </c>
      <c r="C161" s="7">
        <v>72.73</v>
      </c>
      <c r="D161" s="7" t="s">
        <v>26</v>
      </c>
      <c r="E161" s="7" t="s">
        <v>489</v>
      </c>
      <c r="F161" s="7">
        <v>1.87283</v>
      </c>
      <c r="G161" s="7">
        <v>50.0</v>
      </c>
      <c r="H161" s="7" t="s">
        <v>26</v>
      </c>
      <c r="I161" s="7" t="s">
        <v>489</v>
      </c>
      <c r="J161" s="7">
        <v>1.67548</v>
      </c>
      <c r="K161" s="7">
        <v>50.0</v>
      </c>
      <c r="L161" s="7" t="s">
        <v>26</v>
      </c>
      <c r="M161" s="7" t="s">
        <v>490</v>
      </c>
      <c r="O161" s="7">
        <v>73.33</v>
      </c>
      <c r="P161" s="7" t="s">
        <v>26</v>
      </c>
      <c r="Q161" s="7" t="s">
        <v>490</v>
      </c>
      <c r="S161" s="7">
        <v>73.33</v>
      </c>
      <c r="T161" s="7" t="s">
        <v>26</v>
      </c>
    </row>
    <row r="162">
      <c r="A162" s="7" t="s">
        <v>491</v>
      </c>
      <c r="B162" s="7">
        <v>0.05577</v>
      </c>
      <c r="C162" s="7">
        <v>74.29</v>
      </c>
      <c r="D162" s="7" t="s">
        <v>26</v>
      </c>
      <c r="E162" s="7" t="s">
        <v>492</v>
      </c>
      <c r="F162" s="7">
        <v>2.04915</v>
      </c>
      <c r="G162" s="7">
        <v>53.85</v>
      </c>
      <c r="H162" s="7" t="s">
        <v>26</v>
      </c>
      <c r="I162" s="7" t="s">
        <v>492</v>
      </c>
      <c r="J162" s="7">
        <v>1.85738</v>
      </c>
      <c r="K162" s="7">
        <v>53.85</v>
      </c>
      <c r="L162" s="7" t="s">
        <v>26</v>
      </c>
      <c r="M162" s="7" t="s">
        <v>493</v>
      </c>
      <c r="O162" s="7">
        <v>75.0</v>
      </c>
      <c r="P162" s="7" t="s">
        <v>26</v>
      </c>
      <c r="Q162" s="7" t="s">
        <v>493</v>
      </c>
      <c r="S162" s="7">
        <v>75.0</v>
      </c>
      <c r="T162" s="7" t="s">
        <v>26</v>
      </c>
    </row>
    <row r="163">
      <c r="A163" s="7" t="s">
        <v>494</v>
      </c>
      <c r="B163" s="7">
        <v>0.09146</v>
      </c>
      <c r="C163" s="7">
        <v>75.68</v>
      </c>
      <c r="D163" s="7" t="s">
        <v>26</v>
      </c>
      <c r="E163" s="7" t="s">
        <v>495</v>
      </c>
      <c r="F163" s="7">
        <v>1.7662</v>
      </c>
      <c r="G163" s="7">
        <v>57.14</v>
      </c>
      <c r="H163" s="7" t="s">
        <v>26</v>
      </c>
      <c r="I163" s="7" t="s">
        <v>495</v>
      </c>
      <c r="J163" s="7">
        <v>2.11242</v>
      </c>
      <c r="K163" s="7">
        <v>57.14</v>
      </c>
      <c r="L163" s="7" t="s">
        <v>26</v>
      </c>
      <c r="M163" s="7" t="s">
        <v>496</v>
      </c>
      <c r="O163" s="7">
        <v>76.47</v>
      </c>
      <c r="P163" s="7" t="s">
        <v>26</v>
      </c>
      <c r="Q163" s="7" t="s">
        <v>496</v>
      </c>
      <c r="S163" s="7">
        <v>76.47</v>
      </c>
      <c r="T163" s="7" t="s">
        <v>26</v>
      </c>
    </row>
    <row r="164">
      <c r="A164" s="7" t="s">
        <v>497</v>
      </c>
      <c r="B164" s="7">
        <v>0.05645</v>
      </c>
      <c r="C164" s="7">
        <v>62.5</v>
      </c>
      <c r="D164" s="7" t="s">
        <v>26</v>
      </c>
      <c r="E164" s="7" t="s">
        <v>498</v>
      </c>
      <c r="F164" s="7">
        <v>1.72519</v>
      </c>
      <c r="G164" s="7">
        <v>60.87</v>
      </c>
      <c r="H164" s="7" t="s">
        <v>26</v>
      </c>
      <c r="I164" s="7" t="s">
        <v>498</v>
      </c>
      <c r="J164" s="7">
        <v>1.95269</v>
      </c>
      <c r="K164" s="7">
        <v>60.87</v>
      </c>
      <c r="L164" s="7" t="s">
        <v>26</v>
      </c>
      <c r="M164" s="7" t="s">
        <v>499</v>
      </c>
      <c r="O164" s="7">
        <v>68.97</v>
      </c>
      <c r="P164" s="7" t="s">
        <v>26</v>
      </c>
      <c r="Q164" s="7" t="s">
        <v>499</v>
      </c>
      <c r="S164" s="7">
        <v>68.97</v>
      </c>
      <c r="T164" s="7" t="s">
        <v>26</v>
      </c>
    </row>
    <row r="165">
      <c r="A165" s="7" t="s">
        <v>500</v>
      </c>
      <c r="B165" s="7">
        <v>0.06314</v>
      </c>
      <c r="C165" s="7">
        <v>64.86</v>
      </c>
      <c r="D165" s="7" t="s">
        <v>26</v>
      </c>
      <c r="E165" s="7" t="s">
        <v>501</v>
      </c>
      <c r="F165" s="7">
        <v>6.10008</v>
      </c>
      <c r="G165" s="7">
        <v>72.73</v>
      </c>
      <c r="H165" s="7" t="s">
        <v>26</v>
      </c>
      <c r="I165" s="7" t="s">
        <v>502</v>
      </c>
      <c r="J165" s="7">
        <v>1.80641</v>
      </c>
      <c r="K165" s="7">
        <v>64.29</v>
      </c>
      <c r="L165" s="7" t="s">
        <v>26</v>
      </c>
      <c r="M165" s="7" t="s">
        <v>501</v>
      </c>
      <c r="O165" s="7">
        <v>72.73</v>
      </c>
      <c r="P165" s="7" t="s">
        <v>26</v>
      </c>
      <c r="Q165" s="7" t="s">
        <v>501</v>
      </c>
      <c r="S165" s="7">
        <v>72.73</v>
      </c>
      <c r="T165" s="7" t="s">
        <v>26</v>
      </c>
    </row>
    <row r="166">
      <c r="A166" s="7" t="s">
        <v>503</v>
      </c>
      <c r="B166" s="7">
        <v>0.1364</v>
      </c>
      <c r="C166" s="7">
        <v>59.46</v>
      </c>
      <c r="D166" s="7" t="s">
        <v>26</v>
      </c>
      <c r="E166" s="7" t="s">
        <v>504</v>
      </c>
      <c r="F166" s="7">
        <v>2.24005</v>
      </c>
      <c r="G166" s="7">
        <v>93.33</v>
      </c>
      <c r="H166" s="7" t="s">
        <v>26</v>
      </c>
      <c r="I166" s="7" t="s">
        <v>504</v>
      </c>
      <c r="J166" s="7">
        <v>1.82478</v>
      </c>
      <c r="K166" s="7">
        <v>93.33</v>
      </c>
      <c r="L166" s="7" t="s">
        <v>26</v>
      </c>
      <c r="M166" s="7" t="s">
        <v>505</v>
      </c>
      <c r="O166" s="7">
        <v>93.33</v>
      </c>
      <c r="P166" s="7" t="s">
        <v>26</v>
      </c>
      <c r="Q166" s="7" t="s">
        <v>505</v>
      </c>
      <c r="S166" s="7">
        <v>93.33</v>
      </c>
      <c r="T166" s="7" t="s">
        <v>26</v>
      </c>
    </row>
    <row r="167">
      <c r="A167" s="7" t="s">
        <v>506</v>
      </c>
      <c r="B167" s="7">
        <v>0.11859</v>
      </c>
      <c r="C167" s="7">
        <v>74.29</v>
      </c>
      <c r="D167" s="7" t="s">
        <v>26</v>
      </c>
      <c r="E167" s="7" t="s">
        <v>507</v>
      </c>
      <c r="F167" s="7">
        <v>1.87203</v>
      </c>
      <c r="G167" s="7">
        <v>93.02</v>
      </c>
      <c r="H167" s="7" t="s">
        <v>26</v>
      </c>
      <c r="I167" s="7" t="s">
        <v>507</v>
      </c>
      <c r="J167" s="7">
        <v>1.80079</v>
      </c>
      <c r="K167" s="7">
        <v>93.02</v>
      </c>
      <c r="L167" s="7" t="s">
        <v>26</v>
      </c>
      <c r="M167" s="7" t="s">
        <v>508</v>
      </c>
      <c r="O167" s="7">
        <v>93.02</v>
      </c>
      <c r="P167" s="7" t="s">
        <v>26</v>
      </c>
      <c r="Q167" s="7" t="s">
        <v>508</v>
      </c>
      <c r="S167" s="7">
        <v>93.02</v>
      </c>
      <c r="T167" s="7" t="s">
        <v>26</v>
      </c>
    </row>
    <row r="168">
      <c r="A168" s="7" t="s">
        <v>509</v>
      </c>
      <c r="B168" s="7">
        <v>0.08432</v>
      </c>
      <c r="C168" s="7">
        <v>56.0</v>
      </c>
      <c r="D168" s="7" t="s">
        <v>26</v>
      </c>
      <c r="E168" s="7" t="s">
        <v>510</v>
      </c>
      <c r="F168" s="7">
        <v>2.30724</v>
      </c>
      <c r="G168" s="7">
        <v>90.91</v>
      </c>
      <c r="H168" s="7" t="s">
        <v>26</v>
      </c>
      <c r="I168" s="7" t="s">
        <v>510</v>
      </c>
      <c r="J168" s="7">
        <v>1.5844</v>
      </c>
      <c r="K168" s="7">
        <v>90.91</v>
      </c>
      <c r="L168" s="7" t="s">
        <v>26</v>
      </c>
      <c r="M168" s="7" t="s">
        <v>510</v>
      </c>
      <c r="O168" s="7">
        <v>90.91</v>
      </c>
      <c r="P168" s="7" t="s">
        <v>26</v>
      </c>
      <c r="Q168" s="7" t="s">
        <v>510</v>
      </c>
      <c r="S168" s="7">
        <v>90.91</v>
      </c>
      <c r="T168" s="7" t="s">
        <v>26</v>
      </c>
    </row>
    <row r="169">
      <c r="A169" s="7" t="s">
        <v>511</v>
      </c>
      <c r="B169" s="7">
        <v>0.06583</v>
      </c>
      <c r="C169" s="7">
        <v>57.14</v>
      </c>
      <c r="D169" s="7" t="s">
        <v>26</v>
      </c>
      <c r="E169" s="7" t="s">
        <v>512</v>
      </c>
      <c r="F169" s="7">
        <v>2.66459</v>
      </c>
      <c r="G169" s="7">
        <v>93.02</v>
      </c>
      <c r="H169" s="7" t="s">
        <v>26</v>
      </c>
      <c r="I169" s="7" t="s">
        <v>512</v>
      </c>
      <c r="J169" s="7">
        <v>1.98013</v>
      </c>
      <c r="K169" s="7">
        <v>93.02</v>
      </c>
      <c r="L169" s="7" t="s">
        <v>26</v>
      </c>
      <c r="M169" s="7" t="s">
        <v>512</v>
      </c>
      <c r="O169" s="7">
        <v>93.02</v>
      </c>
      <c r="P169" s="7" t="s">
        <v>26</v>
      </c>
      <c r="Q169" s="7" t="s">
        <v>512</v>
      </c>
      <c r="S169" s="7">
        <v>93.02</v>
      </c>
      <c r="T169" s="7" t="s">
        <v>26</v>
      </c>
    </row>
    <row r="170">
      <c r="A170" s="7" t="s">
        <v>513</v>
      </c>
      <c r="B170" s="7">
        <v>0.05808</v>
      </c>
      <c r="C170" s="7">
        <v>62.86</v>
      </c>
      <c r="D170" s="7" t="s">
        <v>26</v>
      </c>
      <c r="E170" s="7" t="s">
        <v>514</v>
      </c>
      <c r="F170" s="7">
        <v>2.4836</v>
      </c>
      <c r="G170" s="7">
        <v>93.02</v>
      </c>
      <c r="H170" s="7" t="s">
        <v>26</v>
      </c>
      <c r="I170" s="7" t="s">
        <v>515</v>
      </c>
      <c r="J170" s="7">
        <v>1.79602</v>
      </c>
      <c r="K170" s="7">
        <v>93.02</v>
      </c>
      <c r="L170" s="7" t="s">
        <v>26</v>
      </c>
      <c r="M170" s="7" t="s">
        <v>514</v>
      </c>
      <c r="O170" s="7">
        <v>93.02</v>
      </c>
      <c r="P170" s="7" t="s">
        <v>26</v>
      </c>
      <c r="Q170" s="7" t="s">
        <v>514</v>
      </c>
      <c r="S170" s="7">
        <v>93.02</v>
      </c>
      <c r="T170" s="7" t="s">
        <v>26</v>
      </c>
    </row>
    <row r="171">
      <c r="A171" s="7" t="s">
        <v>516</v>
      </c>
      <c r="B171" s="7">
        <v>0.0575</v>
      </c>
      <c r="C171" s="7">
        <v>47.89</v>
      </c>
      <c r="D171" s="7" t="s">
        <v>26</v>
      </c>
      <c r="E171" s="7" t="s">
        <v>517</v>
      </c>
      <c r="F171" s="7">
        <v>2.84214</v>
      </c>
      <c r="G171" s="7">
        <v>90.91</v>
      </c>
      <c r="H171" s="7" t="s">
        <v>26</v>
      </c>
      <c r="I171" s="7" t="s">
        <v>518</v>
      </c>
      <c r="J171" s="7">
        <v>1.89727</v>
      </c>
      <c r="K171" s="7">
        <v>100.0</v>
      </c>
      <c r="L171" s="7" t="s">
        <v>15</v>
      </c>
      <c r="M171" s="7" t="s">
        <v>519</v>
      </c>
      <c r="O171" s="7">
        <v>100.0</v>
      </c>
      <c r="P171" s="7" t="s">
        <v>15</v>
      </c>
      <c r="Q171" s="7" t="s">
        <v>519</v>
      </c>
      <c r="S171" s="7">
        <v>100.0</v>
      </c>
      <c r="T171" s="7" t="s">
        <v>15</v>
      </c>
    </row>
    <row r="172">
      <c r="A172" s="7" t="s">
        <v>520</v>
      </c>
      <c r="B172" s="7">
        <v>0.03692</v>
      </c>
      <c r="C172" s="7">
        <v>47.89</v>
      </c>
      <c r="D172" s="7" t="s">
        <v>26</v>
      </c>
      <c r="E172" s="7" t="s">
        <v>521</v>
      </c>
      <c r="F172" s="7">
        <v>2.01976</v>
      </c>
      <c r="G172" s="7">
        <v>90.91</v>
      </c>
      <c r="H172" s="7" t="s">
        <v>26</v>
      </c>
      <c r="I172" s="7" t="s">
        <v>522</v>
      </c>
      <c r="J172" s="7">
        <v>1.9571</v>
      </c>
      <c r="K172" s="7">
        <v>68.97</v>
      </c>
      <c r="L172" s="7" t="s">
        <v>26</v>
      </c>
      <c r="M172" s="7" t="s">
        <v>523</v>
      </c>
      <c r="O172" s="7">
        <v>100.0</v>
      </c>
      <c r="P172" s="7" t="s">
        <v>15</v>
      </c>
      <c r="Q172" s="7" t="s">
        <v>523</v>
      </c>
      <c r="S172" s="7">
        <v>100.0</v>
      </c>
      <c r="T172" s="7" t="s">
        <v>15</v>
      </c>
    </row>
    <row r="173">
      <c r="A173" s="7" t="s">
        <v>524</v>
      </c>
      <c r="B173" s="7">
        <v>0.11952</v>
      </c>
      <c r="C173" s="7">
        <v>49.32</v>
      </c>
      <c r="D173" s="7" t="s">
        <v>26</v>
      </c>
      <c r="E173" s="7" t="s">
        <v>525</v>
      </c>
      <c r="F173" s="7">
        <v>1.8812</v>
      </c>
      <c r="G173" s="7">
        <v>91.3</v>
      </c>
      <c r="H173" s="7" t="s">
        <v>26</v>
      </c>
      <c r="I173" s="7" t="s">
        <v>526</v>
      </c>
      <c r="J173" s="7">
        <v>1.92867</v>
      </c>
      <c r="K173" s="7">
        <v>70.0</v>
      </c>
      <c r="L173" s="7" t="s">
        <v>26</v>
      </c>
      <c r="M173" s="7" t="s">
        <v>527</v>
      </c>
      <c r="O173" s="7">
        <v>100.0</v>
      </c>
      <c r="P173" s="7" t="s">
        <v>15</v>
      </c>
      <c r="Q173" s="7" t="s">
        <v>527</v>
      </c>
      <c r="S173" s="7">
        <v>100.0</v>
      </c>
      <c r="T173" s="7" t="s">
        <v>15</v>
      </c>
    </row>
    <row r="174">
      <c r="A174" s="7" t="s">
        <v>528</v>
      </c>
      <c r="B174" s="7">
        <v>0.07719</v>
      </c>
      <c r="C174" s="7">
        <v>46.38</v>
      </c>
      <c r="D174" s="7" t="s">
        <v>26</v>
      </c>
      <c r="E174" s="7" t="s">
        <v>529</v>
      </c>
      <c r="F174" s="7">
        <v>1.78102</v>
      </c>
      <c r="G174" s="7">
        <v>100.0</v>
      </c>
      <c r="H174" s="7" t="s">
        <v>15</v>
      </c>
      <c r="I174" s="7" t="s">
        <v>530</v>
      </c>
      <c r="J174" s="7">
        <v>1.88996</v>
      </c>
      <c r="K174" s="7">
        <v>67.86</v>
      </c>
      <c r="L174" s="7" t="s">
        <v>26</v>
      </c>
      <c r="M174" s="7" t="s">
        <v>529</v>
      </c>
      <c r="O174" s="7">
        <v>100.0</v>
      </c>
      <c r="P174" s="7" t="s">
        <v>15</v>
      </c>
      <c r="Q174" s="7" t="s">
        <v>529</v>
      </c>
      <c r="S174" s="7">
        <v>100.0</v>
      </c>
      <c r="T174" s="7" t="s">
        <v>15</v>
      </c>
    </row>
    <row r="175">
      <c r="A175" s="7" t="s">
        <v>531</v>
      </c>
      <c r="B175" s="7">
        <v>0.07085</v>
      </c>
      <c r="C175" s="7">
        <v>53.16</v>
      </c>
      <c r="D175" s="7" t="s">
        <v>26</v>
      </c>
      <c r="E175" s="7" t="s">
        <v>532</v>
      </c>
      <c r="F175" s="7">
        <v>1.94415</v>
      </c>
      <c r="G175" s="7">
        <v>100.0</v>
      </c>
      <c r="H175" s="7" t="s">
        <v>15</v>
      </c>
      <c r="I175" s="7" t="s">
        <v>533</v>
      </c>
      <c r="J175" s="7">
        <v>1.96528</v>
      </c>
      <c r="K175" s="7">
        <v>72.73</v>
      </c>
      <c r="L175" s="7" t="s">
        <v>26</v>
      </c>
      <c r="M175" s="7" t="s">
        <v>532</v>
      </c>
      <c r="O175" s="7">
        <v>100.0</v>
      </c>
      <c r="P175" s="7" t="s">
        <v>15</v>
      </c>
      <c r="Q175" s="7" t="s">
        <v>532</v>
      </c>
      <c r="S175" s="7">
        <v>100.0</v>
      </c>
      <c r="T175" s="7" t="s">
        <v>15</v>
      </c>
    </row>
    <row r="176">
      <c r="A176" s="7" t="s">
        <v>534</v>
      </c>
      <c r="B176" s="7">
        <v>0.07423</v>
      </c>
      <c r="C176" s="7">
        <v>46.38</v>
      </c>
      <c r="D176" s="7" t="s">
        <v>26</v>
      </c>
      <c r="E176" s="7" t="s">
        <v>535</v>
      </c>
      <c r="F176" s="7">
        <v>1.86166</v>
      </c>
      <c r="G176" s="7">
        <v>90.48</v>
      </c>
      <c r="H176" s="7" t="s">
        <v>26</v>
      </c>
      <c r="I176" s="7" t="s">
        <v>536</v>
      </c>
      <c r="J176" s="7">
        <v>2.01793</v>
      </c>
      <c r="K176" s="7">
        <v>67.86</v>
      </c>
      <c r="L176" s="7" t="s">
        <v>26</v>
      </c>
      <c r="M176" s="7" t="s">
        <v>537</v>
      </c>
      <c r="O176" s="7">
        <v>100.0</v>
      </c>
      <c r="P176" s="7" t="s">
        <v>15</v>
      </c>
      <c r="Q176" s="7" t="s">
        <v>537</v>
      </c>
      <c r="S176" s="7">
        <v>100.0</v>
      </c>
      <c r="T176" s="7" t="s">
        <v>15</v>
      </c>
    </row>
    <row r="177">
      <c r="A177" s="7" t="s">
        <v>538</v>
      </c>
      <c r="B177" s="7">
        <v>0.05947</v>
      </c>
      <c r="C177" s="7">
        <v>53.16</v>
      </c>
      <c r="D177" s="7" t="s">
        <v>26</v>
      </c>
      <c r="E177" s="7" t="s">
        <v>539</v>
      </c>
      <c r="F177" s="7">
        <v>2.04442</v>
      </c>
      <c r="G177" s="7">
        <v>100.0</v>
      </c>
      <c r="H177" s="7" t="s">
        <v>15</v>
      </c>
      <c r="I177" s="7" t="s">
        <v>540</v>
      </c>
      <c r="J177" s="7">
        <v>2.09435</v>
      </c>
      <c r="K177" s="7">
        <v>72.73</v>
      </c>
      <c r="L177" s="7" t="s">
        <v>26</v>
      </c>
      <c r="M177" s="7" t="s">
        <v>539</v>
      </c>
      <c r="O177" s="7">
        <v>100.0</v>
      </c>
      <c r="P177" s="7" t="s">
        <v>15</v>
      </c>
      <c r="Q177" s="7" t="s">
        <v>539</v>
      </c>
      <c r="S177" s="7">
        <v>100.0</v>
      </c>
      <c r="T177" s="7" t="s">
        <v>15</v>
      </c>
    </row>
    <row r="178">
      <c r="A178" s="7" t="s">
        <v>541</v>
      </c>
      <c r="B178" s="7">
        <v>0.08818</v>
      </c>
      <c r="C178" s="7">
        <v>57.47</v>
      </c>
      <c r="D178" s="7" t="s">
        <v>26</v>
      </c>
      <c r="E178" s="7" t="s">
        <v>542</v>
      </c>
      <c r="F178" s="7">
        <v>2.15898</v>
      </c>
      <c r="G178" s="7">
        <v>100.0</v>
      </c>
      <c r="H178" s="7" t="s">
        <v>15</v>
      </c>
      <c r="I178" s="7" t="s">
        <v>543</v>
      </c>
      <c r="J178" s="7">
        <v>1.96712</v>
      </c>
      <c r="K178" s="7">
        <v>75.68</v>
      </c>
      <c r="L178" s="7" t="s">
        <v>26</v>
      </c>
      <c r="M178" s="7" t="s">
        <v>542</v>
      </c>
      <c r="O178" s="7">
        <v>100.0</v>
      </c>
      <c r="P178" s="7" t="s">
        <v>15</v>
      </c>
      <c r="Q178" s="7" t="s">
        <v>542</v>
      </c>
      <c r="S178" s="7">
        <v>100.0</v>
      </c>
      <c r="T178" s="7" t="s">
        <v>15</v>
      </c>
    </row>
    <row r="179">
      <c r="A179" s="7" t="s">
        <v>544</v>
      </c>
      <c r="B179" s="7">
        <v>0.07946</v>
      </c>
      <c r="C179" s="7">
        <v>57.97</v>
      </c>
      <c r="D179" s="7" t="s">
        <v>26</v>
      </c>
      <c r="E179" s="7" t="s">
        <v>545</v>
      </c>
      <c r="F179" s="7">
        <v>2.21059</v>
      </c>
      <c r="G179" s="7">
        <v>100.0</v>
      </c>
      <c r="H179" s="7" t="s">
        <v>15</v>
      </c>
      <c r="I179" s="7" t="s">
        <v>546</v>
      </c>
      <c r="J179" s="7">
        <v>1.92663</v>
      </c>
      <c r="K179" s="7">
        <v>100.0</v>
      </c>
      <c r="L179" s="7" t="s">
        <v>15</v>
      </c>
      <c r="M179" s="7" t="s">
        <v>545</v>
      </c>
      <c r="O179" s="7">
        <v>100.0</v>
      </c>
      <c r="P179" s="7" t="s">
        <v>15</v>
      </c>
      <c r="Q179" s="7" t="s">
        <v>545</v>
      </c>
      <c r="S179" s="7">
        <v>100.0</v>
      </c>
      <c r="T179" s="7" t="s">
        <v>15</v>
      </c>
    </row>
    <row r="180">
      <c r="A180" s="7" t="s">
        <v>547</v>
      </c>
      <c r="B180" s="7">
        <v>0.15801</v>
      </c>
      <c r="C180" s="7">
        <v>57.97</v>
      </c>
      <c r="D180" s="7" t="s">
        <v>26</v>
      </c>
      <c r="E180" s="7" t="s">
        <v>548</v>
      </c>
      <c r="F180" s="7">
        <v>2.09971</v>
      </c>
      <c r="G180" s="7">
        <v>100.0</v>
      </c>
      <c r="H180" s="7" t="s">
        <v>15</v>
      </c>
      <c r="I180" s="7" t="s">
        <v>548</v>
      </c>
      <c r="J180" s="7">
        <v>1.94884</v>
      </c>
      <c r="K180" s="7">
        <v>100.0</v>
      </c>
      <c r="L180" s="7" t="s">
        <v>15</v>
      </c>
      <c r="M180" s="7" t="s">
        <v>548</v>
      </c>
      <c r="O180" s="7">
        <v>100.0</v>
      </c>
      <c r="P180" s="7" t="s">
        <v>15</v>
      </c>
      <c r="Q180" s="7" t="s">
        <v>548</v>
      </c>
      <c r="S180" s="7">
        <v>100.0</v>
      </c>
      <c r="T180" s="7" t="s">
        <v>15</v>
      </c>
    </row>
    <row r="181">
      <c r="A181" s="7" t="s">
        <v>549</v>
      </c>
      <c r="B181" s="7">
        <v>0.05567</v>
      </c>
      <c r="C181" s="7">
        <v>59.15</v>
      </c>
      <c r="D181" s="7" t="s">
        <v>26</v>
      </c>
      <c r="E181" s="7" t="s">
        <v>550</v>
      </c>
      <c r="F181" s="7">
        <v>1.94219</v>
      </c>
      <c r="G181" s="7">
        <v>100.0</v>
      </c>
      <c r="H181" s="7" t="s">
        <v>15</v>
      </c>
      <c r="I181" s="7" t="s">
        <v>551</v>
      </c>
      <c r="J181" s="7">
        <v>2.05495</v>
      </c>
      <c r="K181" s="7">
        <v>100.0</v>
      </c>
      <c r="L181" s="7" t="s">
        <v>15</v>
      </c>
      <c r="M181" s="7" t="s">
        <v>550</v>
      </c>
      <c r="O181" s="7">
        <v>100.0</v>
      </c>
      <c r="P181" s="7" t="s">
        <v>15</v>
      </c>
      <c r="Q181" s="7" t="s">
        <v>550</v>
      </c>
      <c r="S181" s="7">
        <v>100.0</v>
      </c>
      <c r="T181" s="7" t="s">
        <v>15</v>
      </c>
    </row>
    <row r="182">
      <c r="A182" s="7" t="s">
        <v>552</v>
      </c>
      <c r="B182" s="7">
        <v>0.05402</v>
      </c>
      <c r="C182" s="7">
        <v>56.72</v>
      </c>
      <c r="D182" s="7" t="s">
        <v>26</v>
      </c>
      <c r="E182" s="7" t="s">
        <v>553</v>
      </c>
      <c r="F182" s="7">
        <v>2.29662</v>
      </c>
      <c r="G182" s="7">
        <v>100.0</v>
      </c>
      <c r="H182" s="7" t="s">
        <v>15</v>
      </c>
      <c r="I182" s="7" t="s">
        <v>553</v>
      </c>
      <c r="J182" s="7">
        <v>1.82664</v>
      </c>
      <c r="K182" s="7">
        <v>100.0</v>
      </c>
      <c r="L182" s="7" t="s">
        <v>15</v>
      </c>
      <c r="M182" s="7" t="s">
        <v>553</v>
      </c>
      <c r="O182" s="7">
        <v>100.0</v>
      </c>
      <c r="P182" s="7" t="s">
        <v>15</v>
      </c>
      <c r="Q182" s="7" t="s">
        <v>553</v>
      </c>
      <c r="S182" s="7">
        <v>100.0</v>
      </c>
      <c r="T182" s="7" t="s">
        <v>15</v>
      </c>
    </row>
    <row r="183">
      <c r="A183" s="7" t="s">
        <v>554</v>
      </c>
      <c r="B183" s="7">
        <v>0.05667</v>
      </c>
      <c r="C183" s="7">
        <v>62.34</v>
      </c>
      <c r="D183" s="7" t="s">
        <v>26</v>
      </c>
      <c r="E183" s="7" t="s">
        <v>555</v>
      </c>
      <c r="F183" s="7">
        <v>1.96719</v>
      </c>
      <c r="G183" s="7">
        <v>100.0</v>
      </c>
      <c r="H183" s="7" t="s">
        <v>15</v>
      </c>
      <c r="I183" s="7" t="s">
        <v>556</v>
      </c>
      <c r="J183" s="7">
        <v>2.22439</v>
      </c>
      <c r="K183" s="7">
        <v>100.0</v>
      </c>
      <c r="L183" s="7" t="s">
        <v>15</v>
      </c>
      <c r="M183" s="7" t="s">
        <v>555</v>
      </c>
      <c r="O183" s="7">
        <v>100.0</v>
      </c>
      <c r="P183" s="7" t="s">
        <v>15</v>
      </c>
      <c r="Q183" s="7" t="s">
        <v>555</v>
      </c>
      <c r="S183" s="7">
        <v>100.0</v>
      </c>
      <c r="T183" s="7" t="s">
        <v>15</v>
      </c>
    </row>
    <row r="184">
      <c r="A184" s="7" t="s">
        <v>557</v>
      </c>
      <c r="B184" s="7">
        <v>0.08594</v>
      </c>
      <c r="C184" s="7">
        <v>56.72</v>
      </c>
      <c r="D184" s="7" t="s">
        <v>26</v>
      </c>
      <c r="E184" s="7" t="s">
        <v>558</v>
      </c>
      <c r="F184" s="7">
        <v>1.7886</v>
      </c>
      <c r="G184" s="7">
        <v>100.0</v>
      </c>
      <c r="H184" s="7" t="s">
        <v>15</v>
      </c>
      <c r="I184" s="7" t="s">
        <v>558</v>
      </c>
      <c r="J184" s="7">
        <v>1.99863</v>
      </c>
      <c r="K184" s="7">
        <v>100.0</v>
      </c>
      <c r="L184" s="7" t="s">
        <v>15</v>
      </c>
      <c r="M184" s="7" t="s">
        <v>558</v>
      </c>
      <c r="O184" s="7">
        <v>100.0</v>
      </c>
      <c r="P184" s="7" t="s">
        <v>15</v>
      </c>
      <c r="Q184" s="7" t="s">
        <v>558</v>
      </c>
      <c r="S184" s="7">
        <v>100.0</v>
      </c>
      <c r="T184" s="7" t="s">
        <v>15</v>
      </c>
    </row>
    <row r="185">
      <c r="A185" s="7" t="s">
        <v>559</v>
      </c>
      <c r="B185" s="7">
        <v>0.04826</v>
      </c>
      <c r="C185" s="7">
        <v>62.34</v>
      </c>
      <c r="D185" s="7" t="s">
        <v>26</v>
      </c>
      <c r="E185" s="7" t="s">
        <v>560</v>
      </c>
      <c r="F185" s="7">
        <v>2.27559</v>
      </c>
      <c r="G185" s="7">
        <v>100.0</v>
      </c>
      <c r="H185" s="7" t="s">
        <v>15</v>
      </c>
      <c r="I185" s="7" t="s">
        <v>560</v>
      </c>
      <c r="J185" s="7">
        <v>1.90497</v>
      </c>
      <c r="K185" s="7">
        <v>100.0</v>
      </c>
      <c r="L185" s="7" t="s">
        <v>15</v>
      </c>
      <c r="M185" s="7" t="s">
        <v>560</v>
      </c>
      <c r="O185" s="7">
        <v>100.0</v>
      </c>
      <c r="P185" s="7" t="s">
        <v>15</v>
      </c>
      <c r="Q185" s="7" t="s">
        <v>560</v>
      </c>
      <c r="S185" s="7">
        <v>100.0</v>
      </c>
      <c r="T185" s="7" t="s">
        <v>15</v>
      </c>
    </row>
    <row r="186">
      <c r="A186" s="7" t="s">
        <v>561</v>
      </c>
      <c r="B186" s="7">
        <v>0.04184</v>
      </c>
      <c r="C186" s="7">
        <v>65.88</v>
      </c>
      <c r="D186" s="7" t="s">
        <v>26</v>
      </c>
      <c r="E186" s="7" t="s">
        <v>562</v>
      </c>
      <c r="F186" s="7">
        <v>1.91214</v>
      </c>
      <c r="G186" s="7">
        <v>100.0</v>
      </c>
      <c r="H186" s="7" t="s">
        <v>15</v>
      </c>
      <c r="I186" s="7" t="s">
        <v>563</v>
      </c>
      <c r="J186" s="7">
        <v>1.98847</v>
      </c>
      <c r="K186" s="7">
        <v>100.0</v>
      </c>
      <c r="L186" s="7" t="s">
        <v>15</v>
      </c>
      <c r="M186" s="7" t="s">
        <v>562</v>
      </c>
      <c r="O186" s="7">
        <v>100.0</v>
      </c>
      <c r="P186" s="7" t="s">
        <v>15</v>
      </c>
      <c r="Q186" s="7" t="s">
        <v>562</v>
      </c>
      <c r="S186" s="7">
        <v>100.0</v>
      </c>
      <c r="T186" s="7" t="s">
        <v>15</v>
      </c>
    </row>
    <row r="187">
      <c r="A187" s="7" t="s">
        <v>564</v>
      </c>
      <c r="B187" s="7">
        <v>0.03848</v>
      </c>
      <c r="C187" s="7">
        <v>79.37</v>
      </c>
      <c r="D187" s="7" t="s">
        <v>26</v>
      </c>
      <c r="E187" s="7" t="s">
        <v>565</v>
      </c>
      <c r="F187" s="7">
        <v>1.77805</v>
      </c>
      <c r="G187" s="7">
        <v>80.0</v>
      </c>
      <c r="H187" s="7" t="s">
        <v>26</v>
      </c>
      <c r="I187" s="7" t="s">
        <v>566</v>
      </c>
      <c r="J187" s="7">
        <v>2.05887</v>
      </c>
      <c r="K187" s="7">
        <v>84.75</v>
      </c>
      <c r="L187" s="7" t="s">
        <v>26</v>
      </c>
      <c r="M187" s="7" t="s">
        <v>567</v>
      </c>
      <c r="O187" s="7">
        <v>58.62</v>
      </c>
      <c r="P187" s="7" t="s">
        <v>26</v>
      </c>
      <c r="Q187" s="7" t="s">
        <v>568</v>
      </c>
      <c r="S187" s="7">
        <v>84.75</v>
      </c>
      <c r="T187" s="7" t="s">
        <v>26</v>
      </c>
    </row>
    <row r="188">
      <c r="A188" s="7" t="s">
        <v>569</v>
      </c>
      <c r="B188" s="7">
        <v>0.04419</v>
      </c>
      <c r="C188" s="7">
        <v>78.69</v>
      </c>
      <c r="D188" s="7" t="s">
        <v>26</v>
      </c>
      <c r="E188" s="7" t="s">
        <v>570</v>
      </c>
      <c r="F188" s="7">
        <v>2.29421</v>
      </c>
      <c r="G188" s="7">
        <v>79.37</v>
      </c>
      <c r="H188" s="7" t="s">
        <v>26</v>
      </c>
      <c r="I188" s="7" t="s">
        <v>571</v>
      </c>
      <c r="J188" s="7">
        <v>2.4307</v>
      </c>
      <c r="K188" s="7">
        <v>84.21</v>
      </c>
      <c r="L188" s="7" t="s">
        <v>26</v>
      </c>
      <c r="M188" s="7" t="s">
        <v>572</v>
      </c>
      <c r="O188" s="7">
        <v>60.71</v>
      </c>
      <c r="P188" s="7" t="s">
        <v>26</v>
      </c>
      <c r="Q188" s="7" t="s">
        <v>573</v>
      </c>
      <c r="S188" s="7">
        <v>84.21</v>
      </c>
      <c r="T188" s="7" t="s">
        <v>26</v>
      </c>
    </row>
    <row r="189">
      <c r="A189" s="7" t="s">
        <v>574</v>
      </c>
      <c r="B189" s="7">
        <v>0.07626</v>
      </c>
      <c r="C189" s="7">
        <v>75.47</v>
      </c>
      <c r="D189" s="7" t="s">
        <v>26</v>
      </c>
      <c r="E189" s="7" t="s">
        <v>575</v>
      </c>
      <c r="F189" s="7">
        <v>2.72446</v>
      </c>
      <c r="G189" s="7">
        <v>76.36</v>
      </c>
      <c r="H189" s="7" t="s">
        <v>26</v>
      </c>
      <c r="I189" s="7" t="s">
        <v>576</v>
      </c>
      <c r="J189" s="7">
        <v>2.16203</v>
      </c>
      <c r="K189" s="7">
        <v>83.33</v>
      </c>
      <c r="L189" s="7" t="s">
        <v>26</v>
      </c>
      <c r="M189" s="7" t="s">
        <v>577</v>
      </c>
      <c r="O189" s="7">
        <v>54.17</v>
      </c>
      <c r="P189" s="7" t="s">
        <v>26</v>
      </c>
      <c r="Q189" s="7" t="s">
        <v>578</v>
      </c>
      <c r="S189" s="7">
        <v>81.63</v>
      </c>
      <c r="T189" s="7" t="s">
        <v>26</v>
      </c>
    </row>
    <row r="190">
      <c r="A190" s="7" t="s">
        <v>579</v>
      </c>
      <c r="B190" s="7">
        <v>0.03678</v>
      </c>
      <c r="C190" s="7">
        <v>73.47</v>
      </c>
      <c r="D190" s="7" t="s">
        <v>26</v>
      </c>
      <c r="E190" s="7" t="s">
        <v>580</v>
      </c>
      <c r="F190" s="7">
        <v>2.18765</v>
      </c>
      <c r="G190" s="7">
        <v>74.51</v>
      </c>
      <c r="H190" s="7" t="s">
        <v>26</v>
      </c>
      <c r="I190" s="7" t="s">
        <v>581</v>
      </c>
      <c r="J190" s="7">
        <v>1.99307</v>
      </c>
      <c r="K190" s="7">
        <v>80.0</v>
      </c>
      <c r="L190" s="7" t="s">
        <v>26</v>
      </c>
      <c r="M190" s="7" t="s">
        <v>582</v>
      </c>
      <c r="O190" s="7">
        <v>54.55</v>
      </c>
      <c r="P190" s="7" t="s">
        <v>26</v>
      </c>
      <c r="Q190" s="7" t="s">
        <v>583</v>
      </c>
      <c r="S190" s="7">
        <v>80.0</v>
      </c>
      <c r="T190" s="7" t="s">
        <v>26</v>
      </c>
    </row>
    <row r="191">
      <c r="A191" s="7" t="s">
        <v>584</v>
      </c>
      <c r="B191" s="7">
        <v>0.04857</v>
      </c>
      <c r="C191" s="7">
        <v>79.37</v>
      </c>
      <c r="D191" s="7" t="s">
        <v>26</v>
      </c>
      <c r="E191" s="7" t="s">
        <v>585</v>
      </c>
      <c r="F191" s="7">
        <v>1.75461</v>
      </c>
      <c r="G191" s="7">
        <v>80.0</v>
      </c>
      <c r="H191" s="7" t="s">
        <v>26</v>
      </c>
      <c r="I191" s="7" t="s">
        <v>586</v>
      </c>
      <c r="J191" s="7">
        <v>1.88574</v>
      </c>
      <c r="K191" s="7">
        <v>86.21</v>
      </c>
      <c r="L191" s="7" t="s">
        <v>26</v>
      </c>
      <c r="M191" s="7" t="s">
        <v>587</v>
      </c>
      <c r="O191" s="7">
        <v>62.07</v>
      </c>
      <c r="P191" s="7" t="s">
        <v>26</v>
      </c>
      <c r="Q191" s="7" t="s">
        <v>588</v>
      </c>
      <c r="S191" s="7">
        <v>84.75</v>
      </c>
      <c r="T191" s="7" t="s">
        <v>26</v>
      </c>
    </row>
    <row r="192">
      <c r="A192" s="7" t="s">
        <v>589</v>
      </c>
      <c r="B192" s="7">
        <v>0.07675</v>
      </c>
      <c r="C192" s="7">
        <v>77.97</v>
      </c>
      <c r="D192" s="7" t="s">
        <v>26</v>
      </c>
      <c r="E192" s="7" t="s">
        <v>590</v>
      </c>
      <c r="F192" s="7">
        <v>1.81512</v>
      </c>
      <c r="G192" s="7">
        <v>78.69</v>
      </c>
      <c r="H192" s="7" t="s">
        <v>26</v>
      </c>
      <c r="I192" s="7" t="s">
        <v>591</v>
      </c>
      <c r="J192" s="7">
        <v>1.82912</v>
      </c>
      <c r="K192" s="7">
        <v>85.19</v>
      </c>
      <c r="L192" s="7" t="s">
        <v>26</v>
      </c>
      <c r="M192" s="7" t="s">
        <v>592</v>
      </c>
      <c r="O192" s="7">
        <v>62.96</v>
      </c>
      <c r="P192" s="7" t="s">
        <v>26</v>
      </c>
      <c r="Q192" s="7" t="s">
        <v>593</v>
      </c>
      <c r="S192" s="7">
        <v>83.64</v>
      </c>
      <c r="T192" s="7" t="s">
        <v>26</v>
      </c>
    </row>
    <row r="193">
      <c r="A193" s="7" t="s">
        <v>594</v>
      </c>
      <c r="B193" s="7">
        <v>0.09345</v>
      </c>
      <c r="C193" s="7">
        <v>82.67</v>
      </c>
      <c r="D193" s="7" t="s">
        <v>26</v>
      </c>
      <c r="E193" s="7" t="s">
        <v>595</v>
      </c>
      <c r="F193" s="7">
        <v>1.89281</v>
      </c>
      <c r="G193" s="7">
        <v>83.12</v>
      </c>
      <c r="H193" s="7" t="s">
        <v>26</v>
      </c>
      <c r="I193" s="7" t="s">
        <v>596</v>
      </c>
      <c r="J193" s="7">
        <v>1.78428</v>
      </c>
      <c r="K193" s="7">
        <v>87.32</v>
      </c>
      <c r="L193" s="7" t="s">
        <v>26</v>
      </c>
      <c r="M193" s="7" t="s">
        <v>597</v>
      </c>
      <c r="O193" s="7">
        <v>54.29</v>
      </c>
      <c r="P193" s="7" t="s">
        <v>26</v>
      </c>
      <c r="Q193" s="7" t="s">
        <v>596</v>
      </c>
      <c r="S193" s="7">
        <v>87.32</v>
      </c>
      <c r="T193" s="7" t="s">
        <v>26</v>
      </c>
    </row>
    <row r="194">
      <c r="A194" s="7" t="s">
        <v>598</v>
      </c>
      <c r="B194" s="7">
        <v>0.06751</v>
      </c>
      <c r="C194" s="7">
        <v>74.07</v>
      </c>
      <c r="D194" s="7" t="s">
        <v>26</v>
      </c>
      <c r="E194" s="7" t="s">
        <v>599</v>
      </c>
      <c r="F194" s="7">
        <v>2.06259</v>
      </c>
      <c r="G194" s="7">
        <v>51.28</v>
      </c>
      <c r="H194" s="7" t="s">
        <v>26</v>
      </c>
      <c r="I194" s="7" t="s">
        <v>600</v>
      </c>
      <c r="J194" s="7">
        <v>1.88583</v>
      </c>
      <c r="K194" s="7">
        <v>77.78</v>
      </c>
      <c r="L194" s="7" t="s">
        <v>26</v>
      </c>
      <c r="M194" s="7" t="s">
        <v>601</v>
      </c>
      <c r="O194" s="7">
        <v>52.63</v>
      </c>
      <c r="P194" s="7" t="s">
        <v>26</v>
      </c>
      <c r="Q194" s="7" t="s">
        <v>602</v>
      </c>
      <c r="S194" s="7">
        <v>54.55</v>
      </c>
      <c r="T194" s="7" t="s">
        <v>26</v>
      </c>
    </row>
    <row r="195">
      <c r="A195" s="7" t="s">
        <v>603</v>
      </c>
      <c r="B195" s="7">
        <v>0.06082</v>
      </c>
      <c r="C195" s="7">
        <v>74.07</v>
      </c>
      <c r="D195" s="7" t="s">
        <v>26</v>
      </c>
      <c r="E195" s="7" t="s">
        <v>603</v>
      </c>
      <c r="F195" s="7">
        <v>2.09417</v>
      </c>
      <c r="G195" s="7">
        <v>74.07</v>
      </c>
      <c r="H195" s="7" t="s">
        <v>26</v>
      </c>
      <c r="I195" s="7" t="s">
        <v>603</v>
      </c>
      <c r="J195" s="7">
        <v>2.10527</v>
      </c>
      <c r="K195" s="7">
        <v>74.07</v>
      </c>
      <c r="L195" s="7" t="s">
        <v>26</v>
      </c>
      <c r="M195" s="7" t="s">
        <v>604</v>
      </c>
      <c r="O195" s="7">
        <v>58.82</v>
      </c>
      <c r="P195" s="7" t="s">
        <v>26</v>
      </c>
      <c r="Q195" s="7" t="s">
        <v>605</v>
      </c>
      <c r="S195" s="7">
        <v>70.0</v>
      </c>
      <c r="T195" s="7" t="s">
        <v>26</v>
      </c>
    </row>
    <row r="196">
      <c r="A196" s="7" t="s">
        <v>606</v>
      </c>
      <c r="B196" s="7">
        <v>0.04069</v>
      </c>
      <c r="C196" s="7">
        <v>48.48</v>
      </c>
      <c r="D196" s="7" t="s">
        <v>26</v>
      </c>
      <c r="E196" s="7" t="s">
        <v>607</v>
      </c>
      <c r="F196" s="7">
        <v>2.22249</v>
      </c>
      <c r="G196" s="7">
        <v>100.0</v>
      </c>
      <c r="H196" s="7" t="s">
        <v>15</v>
      </c>
      <c r="I196" s="7" t="s">
        <v>608</v>
      </c>
      <c r="J196" s="7">
        <v>1.84018</v>
      </c>
      <c r="K196" s="7">
        <v>100.0</v>
      </c>
      <c r="L196" s="7" t="s">
        <v>15</v>
      </c>
      <c r="M196" s="7" t="s">
        <v>609</v>
      </c>
      <c r="O196" s="7">
        <v>63.16</v>
      </c>
      <c r="P196" s="7" t="s">
        <v>26</v>
      </c>
      <c r="Q196" s="7" t="s">
        <v>610</v>
      </c>
      <c r="S196" s="7">
        <v>72.73</v>
      </c>
      <c r="T196" s="7" t="s">
        <v>26</v>
      </c>
    </row>
    <row r="197">
      <c r="A197" s="7" t="s">
        <v>611</v>
      </c>
      <c r="B197" s="7">
        <v>0.02974</v>
      </c>
      <c r="C197" s="7">
        <v>85.71</v>
      </c>
      <c r="D197" s="7" t="s">
        <v>26</v>
      </c>
      <c r="E197" s="7" t="s">
        <v>611</v>
      </c>
      <c r="F197" s="7">
        <v>2.14594</v>
      </c>
      <c r="G197" s="7">
        <v>85.71</v>
      </c>
      <c r="H197" s="7" t="s">
        <v>26</v>
      </c>
      <c r="I197" s="7" t="s">
        <v>611</v>
      </c>
      <c r="J197" s="7">
        <v>1.92428</v>
      </c>
      <c r="K197" s="7">
        <v>85.71</v>
      </c>
      <c r="L197" s="7" t="s">
        <v>26</v>
      </c>
      <c r="M197" s="7" t="s">
        <v>612</v>
      </c>
      <c r="O197" s="7">
        <v>75.0</v>
      </c>
      <c r="P197" s="7" t="s">
        <v>26</v>
      </c>
      <c r="Q197" s="7" t="s">
        <v>613</v>
      </c>
      <c r="S197" s="7">
        <v>73.91</v>
      </c>
      <c r="T197" s="7" t="s">
        <v>26</v>
      </c>
    </row>
    <row r="198">
      <c r="A198" s="7" t="s">
        <v>614</v>
      </c>
      <c r="B198" s="7">
        <v>0.04513</v>
      </c>
      <c r="C198" s="7">
        <v>60.0</v>
      </c>
      <c r="D198" s="7" t="s">
        <v>26</v>
      </c>
      <c r="E198" s="7" t="s">
        <v>615</v>
      </c>
      <c r="F198" s="7">
        <v>2.33579</v>
      </c>
      <c r="G198" s="7">
        <v>94.44</v>
      </c>
      <c r="H198" s="7" t="s">
        <v>26</v>
      </c>
      <c r="I198" s="7" t="s">
        <v>615</v>
      </c>
      <c r="J198" s="7">
        <v>2.03749</v>
      </c>
      <c r="K198" s="7">
        <v>94.44</v>
      </c>
      <c r="L198" s="7" t="s">
        <v>26</v>
      </c>
      <c r="M198" s="7" t="s">
        <v>616</v>
      </c>
      <c r="O198" s="7">
        <v>94.44</v>
      </c>
      <c r="P198" s="7" t="s">
        <v>26</v>
      </c>
      <c r="Q198" s="7" t="s">
        <v>616</v>
      </c>
      <c r="S198" s="7">
        <v>94.44</v>
      </c>
      <c r="T198" s="7" t="s">
        <v>26</v>
      </c>
    </row>
    <row r="199">
      <c r="A199" s="7" t="s">
        <v>617</v>
      </c>
      <c r="B199" s="7">
        <v>0.07182</v>
      </c>
      <c r="C199" s="7">
        <v>63.16</v>
      </c>
      <c r="D199" s="7" t="s">
        <v>26</v>
      </c>
      <c r="E199" s="7" t="s">
        <v>618</v>
      </c>
      <c r="F199" s="7">
        <v>2.19828</v>
      </c>
      <c r="G199" s="7">
        <v>94.87</v>
      </c>
      <c r="H199" s="7" t="s">
        <v>26</v>
      </c>
      <c r="I199" s="7" t="s">
        <v>618</v>
      </c>
      <c r="J199" s="7">
        <v>1.80071</v>
      </c>
      <c r="K199" s="7">
        <v>94.87</v>
      </c>
      <c r="L199" s="7" t="s">
        <v>26</v>
      </c>
      <c r="M199" s="7" t="s">
        <v>619</v>
      </c>
      <c r="O199" s="7">
        <v>94.87</v>
      </c>
      <c r="P199" s="7" t="s">
        <v>26</v>
      </c>
      <c r="Q199" s="7" t="s">
        <v>619</v>
      </c>
      <c r="S199" s="7">
        <v>94.87</v>
      </c>
      <c r="T199" s="7" t="s">
        <v>26</v>
      </c>
    </row>
    <row r="200">
      <c r="A200" s="7" t="s">
        <v>620</v>
      </c>
      <c r="B200" s="7">
        <v>0.06424</v>
      </c>
      <c r="C200" s="7">
        <v>59.46</v>
      </c>
      <c r="D200" s="7" t="s">
        <v>26</v>
      </c>
      <c r="E200" s="7" t="s">
        <v>621</v>
      </c>
      <c r="F200" s="7">
        <v>2.02378</v>
      </c>
      <c r="G200" s="7">
        <v>94.74</v>
      </c>
      <c r="H200" s="7" t="s">
        <v>26</v>
      </c>
      <c r="I200" s="7" t="s">
        <v>621</v>
      </c>
      <c r="J200" s="7">
        <v>1.94149</v>
      </c>
      <c r="K200" s="7">
        <v>94.74</v>
      </c>
      <c r="L200" s="7" t="s">
        <v>26</v>
      </c>
      <c r="M200" s="7" t="s">
        <v>621</v>
      </c>
      <c r="O200" s="7">
        <v>94.74</v>
      </c>
      <c r="P200" s="7" t="s">
        <v>26</v>
      </c>
      <c r="Q200" s="7" t="s">
        <v>621</v>
      </c>
      <c r="S200" s="7">
        <v>94.74</v>
      </c>
      <c r="T200" s="7" t="s">
        <v>26</v>
      </c>
    </row>
    <row r="201">
      <c r="A201" s="7" t="s">
        <v>622</v>
      </c>
      <c r="B201" s="7">
        <v>0.0694</v>
      </c>
      <c r="C201" s="7">
        <v>60.61</v>
      </c>
      <c r="D201" s="7" t="s">
        <v>26</v>
      </c>
      <c r="E201" s="7" t="s">
        <v>623</v>
      </c>
      <c r="F201" s="7">
        <v>1.83919</v>
      </c>
      <c r="G201" s="7">
        <v>90.91</v>
      </c>
      <c r="H201" s="7" t="s">
        <v>26</v>
      </c>
      <c r="I201" s="7" t="s">
        <v>623</v>
      </c>
      <c r="J201" s="7">
        <v>1.8279</v>
      </c>
      <c r="K201" s="7">
        <v>90.91</v>
      </c>
      <c r="L201" s="7" t="s">
        <v>26</v>
      </c>
      <c r="M201" s="7" t="s">
        <v>623</v>
      </c>
      <c r="O201" s="7">
        <v>90.91</v>
      </c>
      <c r="P201" s="7" t="s">
        <v>26</v>
      </c>
      <c r="Q201" s="7" t="s">
        <v>623</v>
      </c>
      <c r="S201" s="7">
        <v>90.91</v>
      </c>
      <c r="T201" s="7" t="s">
        <v>26</v>
      </c>
    </row>
    <row r="202">
      <c r="A202" s="7" t="s">
        <v>624</v>
      </c>
      <c r="B202" s="7">
        <v>0.09321</v>
      </c>
      <c r="C202" s="7">
        <v>0.0</v>
      </c>
      <c r="D202" s="7" t="s">
        <v>99</v>
      </c>
      <c r="E202" s="7" t="s">
        <v>625</v>
      </c>
      <c r="F202" s="7">
        <v>2.27623</v>
      </c>
      <c r="G202" s="7">
        <v>64.22</v>
      </c>
      <c r="H202" s="7" t="s">
        <v>26</v>
      </c>
      <c r="I202" s="7" t="s">
        <v>626</v>
      </c>
      <c r="J202" s="7">
        <v>2.2579</v>
      </c>
      <c r="K202" s="7">
        <v>68.69</v>
      </c>
      <c r="L202" s="7" t="s">
        <v>26</v>
      </c>
      <c r="M202" s="7" t="s">
        <v>627</v>
      </c>
      <c r="O202" s="7">
        <v>73.68</v>
      </c>
      <c r="P202" s="7" t="s">
        <v>26</v>
      </c>
      <c r="Q202" s="7" t="s">
        <v>627</v>
      </c>
      <c r="S202" s="7">
        <v>73.68</v>
      </c>
      <c r="T202" s="7" t="s">
        <v>26</v>
      </c>
    </row>
    <row r="203">
      <c r="A203" s="7" t="s">
        <v>624</v>
      </c>
      <c r="B203" s="7">
        <v>0.07074</v>
      </c>
      <c r="C203" s="7">
        <v>0.0</v>
      </c>
      <c r="D203" s="7" t="s">
        <v>99</v>
      </c>
      <c r="E203" s="7" t="s">
        <v>628</v>
      </c>
      <c r="F203" s="7">
        <v>1.94057</v>
      </c>
      <c r="G203" s="7">
        <v>74.07</v>
      </c>
      <c r="H203" s="7" t="s">
        <v>26</v>
      </c>
      <c r="I203" s="7" t="s">
        <v>629</v>
      </c>
      <c r="J203" s="7">
        <v>2.16295</v>
      </c>
      <c r="K203" s="7">
        <v>82.47</v>
      </c>
      <c r="L203" s="7" t="s">
        <v>26</v>
      </c>
      <c r="M203" s="7" t="s">
        <v>630</v>
      </c>
      <c r="O203" s="7">
        <v>82.47</v>
      </c>
      <c r="P203" s="7" t="s">
        <v>26</v>
      </c>
      <c r="Q203" s="7" t="s">
        <v>631</v>
      </c>
      <c r="S203" s="7">
        <v>75.47</v>
      </c>
      <c r="T203" s="7" t="s">
        <v>26</v>
      </c>
    </row>
    <row r="204">
      <c r="A204" s="7" t="s">
        <v>624</v>
      </c>
      <c r="B204" s="7">
        <v>0.06286</v>
      </c>
      <c r="C204" s="7">
        <v>0.0</v>
      </c>
      <c r="D204" s="7" t="s">
        <v>99</v>
      </c>
      <c r="E204" s="7" t="s">
        <v>632</v>
      </c>
      <c r="F204" s="7">
        <v>2.1139</v>
      </c>
      <c r="G204" s="7">
        <v>76.92</v>
      </c>
      <c r="H204" s="7" t="s">
        <v>26</v>
      </c>
      <c r="I204" s="7" t="s">
        <v>633</v>
      </c>
      <c r="J204" s="7">
        <v>2.07659</v>
      </c>
      <c r="K204" s="7">
        <v>76.92</v>
      </c>
      <c r="L204" s="7" t="s">
        <v>26</v>
      </c>
      <c r="M204" s="7" t="s">
        <v>632</v>
      </c>
      <c r="O204" s="7">
        <v>76.92</v>
      </c>
      <c r="P204" s="7" t="s">
        <v>26</v>
      </c>
      <c r="Q204" s="7" t="s">
        <v>632</v>
      </c>
      <c r="S204" s="7">
        <v>76.92</v>
      </c>
      <c r="T204" s="7" t="s">
        <v>26</v>
      </c>
    </row>
    <row r="205">
      <c r="A205" s="7" t="s">
        <v>634</v>
      </c>
      <c r="B205" s="7">
        <v>0.06586</v>
      </c>
      <c r="C205" s="7">
        <v>63.49</v>
      </c>
      <c r="D205" s="7" t="s">
        <v>26</v>
      </c>
      <c r="E205" s="7" t="s">
        <v>635</v>
      </c>
      <c r="F205" s="7">
        <v>2.11494</v>
      </c>
      <c r="G205" s="7">
        <v>67.53</v>
      </c>
      <c r="H205" s="7" t="s">
        <v>26</v>
      </c>
      <c r="I205" s="7" t="s">
        <v>636</v>
      </c>
      <c r="J205" s="7">
        <v>1.88442</v>
      </c>
      <c r="K205" s="7">
        <v>72.0</v>
      </c>
      <c r="L205" s="7" t="s">
        <v>26</v>
      </c>
      <c r="M205" s="7" t="s">
        <v>637</v>
      </c>
      <c r="O205" s="7">
        <v>68.42</v>
      </c>
      <c r="P205" s="7" t="s">
        <v>26</v>
      </c>
      <c r="Q205" s="7" t="s">
        <v>637</v>
      </c>
      <c r="S205" s="7">
        <v>68.42</v>
      </c>
      <c r="T205" s="7" t="s">
        <v>26</v>
      </c>
    </row>
    <row r="206">
      <c r="A206" s="7" t="s">
        <v>624</v>
      </c>
      <c r="B206" s="7">
        <v>0.10871</v>
      </c>
      <c r="C206" s="7">
        <v>0.0</v>
      </c>
      <c r="D206" s="7" t="s">
        <v>99</v>
      </c>
      <c r="E206" s="7" t="s">
        <v>638</v>
      </c>
      <c r="F206" s="7">
        <v>1.90331</v>
      </c>
      <c r="G206" s="7">
        <v>82.35</v>
      </c>
      <c r="H206" s="7" t="s">
        <v>26</v>
      </c>
      <c r="I206" s="7" t="s">
        <v>639</v>
      </c>
      <c r="J206" s="7">
        <v>2.00021</v>
      </c>
      <c r="K206" s="7">
        <v>50.57</v>
      </c>
      <c r="L206" s="7" t="s">
        <v>26</v>
      </c>
      <c r="M206" s="7" t="s">
        <v>640</v>
      </c>
      <c r="O206" s="7">
        <v>82.35</v>
      </c>
      <c r="P206" s="7" t="s">
        <v>26</v>
      </c>
      <c r="Q206" s="7" t="s">
        <v>641</v>
      </c>
      <c r="S206" s="7">
        <v>80.0</v>
      </c>
      <c r="T206" s="7" t="s">
        <v>26</v>
      </c>
    </row>
    <row r="207">
      <c r="A207" s="7" t="s">
        <v>642</v>
      </c>
      <c r="B207" s="7">
        <v>0.07894</v>
      </c>
      <c r="C207" s="7">
        <v>70.13</v>
      </c>
      <c r="D207" s="7" t="s">
        <v>26</v>
      </c>
      <c r="E207" s="7" t="s">
        <v>643</v>
      </c>
      <c r="F207" s="7">
        <v>2.1012</v>
      </c>
      <c r="G207" s="7">
        <v>72.53</v>
      </c>
      <c r="H207" s="7" t="s">
        <v>26</v>
      </c>
      <c r="I207" s="7" t="s">
        <v>644</v>
      </c>
      <c r="J207" s="7">
        <v>1.95893</v>
      </c>
      <c r="K207" s="7">
        <v>73.33</v>
      </c>
      <c r="L207" s="7" t="s">
        <v>26</v>
      </c>
      <c r="M207" s="7" t="s">
        <v>644</v>
      </c>
      <c r="O207" s="7">
        <v>73.33</v>
      </c>
      <c r="P207" s="7" t="s">
        <v>26</v>
      </c>
      <c r="Q207" s="7" t="s">
        <v>645</v>
      </c>
      <c r="S207" s="7">
        <v>71.11</v>
      </c>
      <c r="T207" s="7" t="s">
        <v>26</v>
      </c>
    </row>
    <row r="208">
      <c r="A208" s="7" t="s">
        <v>646</v>
      </c>
      <c r="B208" s="7">
        <v>0.03168</v>
      </c>
      <c r="C208" s="7">
        <v>100.0</v>
      </c>
      <c r="D208" s="7" t="s">
        <v>15</v>
      </c>
      <c r="E208" s="7" t="s">
        <v>647</v>
      </c>
      <c r="F208" s="7">
        <v>1.98902</v>
      </c>
      <c r="G208" s="7">
        <v>100.0</v>
      </c>
      <c r="H208" s="7" t="s">
        <v>15</v>
      </c>
      <c r="I208" s="7" t="s">
        <v>647</v>
      </c>
      <c r="J208" s="7">
        <v>2.72624</v>
      </c>
      <c r="K208" s="7">
        <v>100.0</v>
      </c>
      <c r="L208" s="7" t="s">
        <v>15</v>
      </c>
      <c r="M208" s="7" t="s">
        <v>647</v>
      </c>
      <c r="O208" s="7">
        <v>100.0</v>
      </c>
      <c r="P208" s="7" t="s">
        <v>15</v>
      </c>
      <c r="Q208" s="7" t="s">
        <v>647</v>
      </c>
      <c r="S208" s="7">
        <v>100.0</v>
      </c>
      <c r="T208" s="7" t="s">
        <v>15</v>
      </c>
    </row>
    <row r="209">
      <c r="A209" s="7" t="s">
        <v>648</v>
      </c>
      <c r="B209" s="7">
        <v>0.05254</v>
      </c>
      <c r="C209" s="7">
        <v>100.0</v>
      </c>
      <c r="D209" s="7" t="s">
        <v>15</v>
      </c>
      <c r="E209" s="7" t="s">
        <v>649</v>
      </c>
      <c r="F209" s="7">
        <v>2.62437</v>
      </c>
      <c r="G209" s="7">
        <v>100.0</v>
      </c>
      <c r="H209" s="7" t="s">
        <v>15</v>
      </c>
      <c r="I209" s="7" t="s">
        <v>649</v>
      </c>
      <c r="J209" s="7">
        <v>2.1531</v>
      </c>
      <c r="K209" s="7">
        <v>100.0</v>
      </c>
      <c r="L209" s="7" t="s">
        <v>15</v>
      </c>
      <c r="M209" s="7" t="s">
        <v>649</v>
      </c>
      <c r="O209" s="7">
        <v>100.0</v>
      </c>
      <c r="P209" s="7" t="s">
        <v>15</v>
      </c>
      <c r="Q209" s="7" t="s">
        <v>649</v>
      </c>
      <c r="S209" s="7">
        <v>100.0</v>
      </c>
      <c r="T209" s="7" t="s">
        <v>15</v>
      </c>
    </row>
    <row r="210">
      <c r="A210" s="7" t="s">
        <v>650</v>
      </c>
      <c r="B210" s="7">
        <v>0.20466</v>
      </c>
      <c r="C210" s="7">
        <v>100.0</v>
      </c>
      <c r="D210" s="7" t="s">
        <v>15</v>
      </c>
      <c r="E210" s="7" t="s">
        <v>651</v>
      </c>
      <c r="F210" s="7">
        <v>2.22759</v>
      </c>
      <c r="G210" s="7">
        <v>100.0</v>
      </c>
      <c r="H210" s="7" t="s">
        <v>15</v>
      </c>
      <c r="I210" s="7" t="s">
        <v>650</v>
      </c>
      <c r="J210" s="7">
        <v>2.14793</v>
      </c>
      <c r="K210" s="7">
        <v>100.0</v>
      </c>
      <c r="L210" s="7" t="s">
        <v>15</v>
      </c>
      <c r="M210" s="7" t="s">
        <v>651</v>
      </c>
      <c r="O210" s="7">
        <v>100.0</v>
      </c>
      <c r="P210" s="7" t="s">
        <v>15</v>
      </c>
      <c r="Q210" s="7" t="s">
        <v>651</v>
      </c>
      <c r="S210" s="7">
        <v>100.0</v>
      </c>
      <c r="T210" s="7" t="s">
        <v>15</v>
      </c>
    </row>
    <row r="211">
      <c r="A211" s="7" t="s">
        <v>652</v>
      </c>
      <c r="B211" s="7">
        <v>0.03765</v>
      </c>
      <c r="C211" s="7">
        <v>100.0</v>
      </c>
      <c r="D211" s="7" t="s">
        <v>15</v>
      </c>
      <c r="E211" s="7" t="s">
        <v>653</v>
      </c>
      <c r="F211" s="7">
        <v>2.00616</v>
      </c>
      <c r="G211" s="7">
        <v>100.0</v>
      </c>
      <c r="H211" s="7" t="s">
        <v>15</v>
      </c>
      <c r="I211" s="7" t="s">
        <v>653</v>
      </c>
      <c r="J211" s="7">
        <v>2.0488</v>
      </c>
      <c r="K211" s="7">
        <v>100.0</v>
      </c>
      <c r="L211" s="7" t="s">
        <v>15</v>
      </c>
      <c r="M211" s="7" t="s">
        <v>653</v>
      </c>
      <c r="O211" s="7">
        <v>100.0</v>
      </c>
      <c r="P211" s="7" t="s">
        <v>15</v>
      </c>
      <c r="Q211" s="7" t="s">
        <v>653</v>
      </c>
      <c r="S211" s="7">
        <v>100.0</v>
      </c>
      <c r="T211" s="7" t="s">
        <v>15</v>
      </c>
    </row>
    <row r="212">
      <c r="A212" s="7" t="s">
        <v>654</v>
      </c>
      <c r="B212" s="7">
        <v>0.06249</v>
      </c>
      <c r="C212" s="7">
        <v>66.67</v>
      </c>
      <c r="D212" s="7" t="s">
        <v>26</v>
      </c>
      <c r="E212" s="7" t="s">
        <v>654</v>
      </c>
      <c r="F212" s="7">
        <v>6.0463</v>
      </c>
      <c r="G212" s="7">
        <v>66.67</v>
      </c>
      <c r="H212" s="7" t="s">
        <v>26</v>
      </c>
      <c r="I212" s="7" t="s">
        <v>654</v>
      </c>
      <c r="J212" s="7">
        <v>2.20562</v>
      </c>
      <c r="K212" s="7">
        <v>66.67</v>
      </c>
      <c r="L212" s="7" t="s">
        <v>26</v>
      </c>
      <c r="M212" s="7" t="s">
        <v>654</v>
      </c>
      <c r="O212" s="7">
        <v>66.67</v>
      </c>
      <c r="P212" s="7" t="s">
        <v>26</v>
      </c>
      <c r="Q212" s="7" t="s">
        <v>654</v>
      </c>
      <c r="S212" s="7">
        <v>66.67</v>
      </c>
      <c r="T212" s="7" t="s">
        <v>26</v>
      </c>
    </row>
    <row r="213">
      <c r="A213" s="7" t="s">
        <v>655</v>
      </c>
      <c r="B213" s="7">
        <v>0.07387</v>
      </c>
      <c r="C213" s="7">
        <v>59.46</v>
      </c>
      <c r="D213" s="7" t="s">
        <v>26</v>
      </c>
      <c r="E213" s="7" t="s">
        <v>655</v>
      </c>
      <c r="F213" s="7">
        <v>2.20541</v>
      </c>
      <c r="G213" s="7">
        <v>59.46</v>
      </c>
      <c r="H213" s="7" t="s">
        <v>26</v>
      </c>
      <c r="I213" s="7" t="s">
        <v>655</v>
      </c>
      <c r="J213" s="7">
        <v>2.52071</v>
      </c>
      <c r="K213" s="7">
        <v>59.46</v>
      </c>
      <c r="L213" s="7" t="s">
        <v>26</v>
      </c>
      <c r="M213" s="7" t="s">
        <v>655</v>
      </c>
      <c r="O213" s="7">
        <v>59.46</v>
      </c>
      <c r="P213" s="7" t="s">
        <v>26</v>
      </c>
      <c r="Q213" s="7" t="s">
        <v>655</v>
      </c>
      <c r="S213" s="7">
        <v>59.46</v>
      </c>
      <c r="T213" s="7" t="s">
        <v>26</v>
      </c>
    </row>
    <row r="214">
      <c r="A214" s="7" t="s">
        <v>656</v>
      </c>
      <c r="B214" s="7">
        <v>0.12895</v>
      </c>
      <c r="C214" s="7">
        <v>54.55</v>
      </c>
      <c r="D214" s="7" t="s">
        <v>26</v>
      </c>
      <c r="E214" s="7" t="s">
        <v>656</v>
      </c>
      <c r="F214" s="7">
        <v>1.84164</v>
      </c>
      <c r="G214" s="7">
        <v>54.55</v>
      </c>
      <c r="H214" s="7" t="s">
        <v>26</v>
      </c>
      <c r="I214" s="7" t="s">
        <v>656</v>
      </c>
      <c r="J214" s="7">
        <v>1.6029</v>
      </c>
      <c r="K214" s="7">
        <v>54.55</v>
      </c>
      <c r="L214" s="7" t="s">
        <v>26</v>
      </c>
      <c r="M214" s="7" t="s">
        <v>656</v>
      </c>
      <c r="O214" s="7">
        <v>54.55</v>
      </c>
      <c r="P214" s="7" t="s">
        <v>26</v>
      </c>
      <c r="Q214" s="7" t="s">
        <v>656</v>
      </c>
      <c r="S214" s="7">
        <v>54.55</v>
      </c>
      <c r="T214" s="7" t="s">
        <v>26</v>
      </c>
    </row>
    <row r="215">
      <c r="A215" s="7" t="s">
        <v>86</v>
      </c>
      <c r="B215" s="7">
        <v>0.07857</v>
      </c>
      <c r="C215" s="7">
        <v>100.0</v>
      </c>
      <c r="D215" s="7" t="s">
        <v>15</v>
      </c>
      <c r="E215" s="7" t="s">
        <v>87</v>
      </c>
      <c r="F215" s="7">
        <v>1.84202</v>
      </c>
      <c r="G215" s="7">
        <v>100.0</v>
      </c>
      <c r="H215" s="7" t="s">
        <v>15</v>
      </c>
      <c r="I215" s="7" t="s">
        <v>87</v>
      </c>
      <c r="J215" s="7">
        <v>1.75424</v>
      </c>
      <c r="K215" s="7">
        <v>100.0</v>
      </c>
      <c r="L215" s="7" t="s">
        <v>15</v>
      </c>
      <c r="M215" s="7" t="s">
        <v>87</v>
      </c>
      <c r="O215" s="7">
        <v>100.0</v>
      </c>
      <c r="P215" s="7" t="s">
        <v>15</v>
      </c>
      <c r="Q215" s="7" t="s">
        <v>87</v>
      </c>
      <c r="S215" s="7">
        <v>100.0</v>
      </c>
      <c r="T215" s="7" t="s">
        <v>15</v>
      </c>
    </row>
    <row r="216">
      <c r="A216" s="7" t="s">
        <v>657</v>
      </c>
      <c r="B216" s="7">
        <v>0.26496</v>
      </c>
      <c r="C216" s="7">
        <v>100.0</v>
      </c>
      <c r="D216" s="7" t="s">
        <v>15</v>
      </c>
      <c r="E216" s="7" t="s">
        <v>658</v>
      </c>
      <c r="F216" s="7">
        <v>2.21964</v>
      </c>
      <c r="G216" s="7">
        <v>100.0</v>
      </c>
      <c r="H216" s="7" t="s">
        <v>15</v>
      </c>
      <c r="I216" s="7" t="s">
        <v>658</v>
      </c>
      <c r="J216" s="7">
        <v>1.93446</v>
      </c>
      <c r="K216" s="7">
        <v>100.0</v>
      </c>
      <c r="L216" s="7" t="s">
        <v>15</v>
      </c>
      <c r="M216" s="7" t="s">
        <v>658</v>
      </c>
      <c r="O216" s="7">
        <v>100.0</v>
      </c>
      <c r="P216" s="7" t="s">
        <v>15</v>
      </c>
      <c r="Q216" s="7" t="s">
        <v>658</v>
      </c>
      <c r="S216" s="7">
        <v>100.0</v>
      </c>
      <c r="T216" s="7" t="s">
        <v>15</v>
      </c>
    </row>
    <row r="217">
      <c r="A217" s="7" t="s">
        <v>659</v>
      </c>
      <c r="B217" s="7">
        <v>0.0691</v>
      </c>
      <c r="C217" s="7">
        <v>93.62</v>
      </c>
      <c r="D217" s="7" t="s">
        <v>26</v>
      </c>
      <c r="E217" s="7" t="s">
        <v>660</v>
      </c>
      <c r="F217" s="7">
        <v>1.71585</v>
      </c>
      <c r="G217" s="7">
        <v>100.0</v>
      </c>
      <c r="H217" s="7" t="s">
        <v>15</v>
      </c>
      <c r="I217" s="7" t="s">
        <v>661</v>
      </c>
      <c r="J217" s="7">
        <v>1.91289</v>
      </c>
      <c r="K217" s="7">
        <v>100.0</v>
      </c>
      <c r="L217" s="7" t="s">
        <v>15</v>
      </c>
      <c r="M217" s="7" t="s">
        <v>660</v>
      </c>
      <c r="O217" s="7">
        <v>100.0</v>
      </c>
      <c r="P217" s="7" t="s">
        <v>15</v>
      </c>
      <c r="Q217" s="7" t="s">
        <v>660</v>
      </c>
      <c r="S217" s="7">
        <v>100.0</v>
      </c>
      <c r="T217" s="7" t="s">
        <v>15</v>
      </c>
    </row>
    <row r="218">
      <c r="A218" s="7" t="s">
        <v>662</v>
      </c>
      <c r="B218" s="7">
        <v>0.03182</v>
      </c>
      <c r="C218" s="7">
        <v>63.83</v>
      </c>
      <c r="D218" s="7" t="s">
        <v>26</v>
      </c>
      <c r="E218" s="7" t="s">
        <v>663</v>
      </c>
      <c r="F218" s="7">
        <v>1.77967</v>
      </c>
      <c r="G218" s="7">
        <v>100.0</v>
      </c>
      <c r="H218" s="7" t="s">
        <v>15</v>
      </c>
      <c r="I218" s="7" t="s">
        <v>664</v>
      </c>
      <c r="J218" s="7">
        <v>1.99575</v>
      </c>
      <c r="K218" s="7">
        <v>100.0</v>
      </c>
      <c r="L218" s="7" t="s">
        <v>15</v>
      </c>
      <c r="M218" s="7" t="s">
        <v>663</v>
      </c>
      <c r="O218" s="7">
        <v>100.0</v>
      </c>
      <c r="P218" s="7" t="s">
        <v>15</v>
      </c>
      <c r="Q218" s="7" t="s">
        <v>663</v>
      </c>
      <c r="S218" s="7">
        <v>100.0</v>
      </c>
      <c r="T218" s="7" t="s">
        <v>15</v>
      </c>
    </row>
    <row r="219">
      <c r="A219" s="7" t="s">
        <v>665</v>
      </c>
      <c r="B219" s="7">
        <v>0.03304</v>
      </c>
      <c r="C219" s="7">
        <v>52.94</v>
      </c>
      <c r="D219" s="7" t="s">
        <v>26</v>
      </c>
      <c r="E219" s="7" t="s">
        <v>666</v>
      </c>
      <c r="F219" s="7">
        <v>1.92913</v>
      </c>
      <c r="G219" s="7">
        <v>100.0</v>
      </c>
      <c r="H219" s="7" t="s">
        <v>15</v>
      </c>
      <c r="I219" s="7" t="s">
        <v>666</v>
      </c>
      <c r="J219" s="7">
        <v>2.97195</v>
      </c>
      <c r="K219" s="7">
        <v>100.0</v>
      </c>
      <c r="L219" s="7" t="s">
        <v>15</v>
      </c>
      <c r="M219" s="7" t="s">
        <v>666</v>
      </c>
      <c r="O219" s="7">
        <v>100.0</v>
      </c>
      <c r="P219" s="7" t="s">
        <v>15</v>
      </c>
      <c r="Q219" s="7" t="s">
        <v>666</v>
      </c>
      <c r="S219" s="7">
        <v>100.0</v>
      </c>
      <c r="T219" s="7" t="s">
        <v>15</v>
      </c>
    </row>
    <row r="220">
      <c r="A220" s="7" t="s">
        <v>662</v>
      </c>
      <c r="B220" s="7">
        <v>0.04145</v>
      </c>
      <c r="C220" s="7">
        <v>62.5</v>
      </c>
      <c r="D220" s="7" t="s">
        <v>26</v>
      </c>
      <c r="E220" s="7" t="s">
        <v>667</v>
      </c>
      <c r="F220" s="7">
        <v>1.89069</v>
      </c>
      <c r="G220" s="7">
        <v>100.0</v>
      </c>
      <c r="H220" s="7" t="s">
        <v>15</v>
      </c>
      <c r="I220" s="7" t="s">
        <v>668</v>
      </c>
      <c r="J220" s="7">
        <v>2.19501</v>
      </c>
      <c r="K220" s="7">
        <v>100.0</v>
      </c>
      <c r="L220" s="7" t="s">
        <v>15</v>
      </c>
      <c r="M220" s="7" t="s">
        <v>667</v>
      </c>
      <c r="O220" s="7">
        <v>100.0</v>
      </c>
      <c r="P220" s="7" t="s">
        <v>15</v>
      </c>
      <c r="Q220" s="7" t="s">
        <v>667</v>
      </c>
      <c r="S220" s="7">
        <v>100.0</v>
      </c>
      <c r="T220" s="7" t="s">
        <v>15</v>
      </c>
    </row>
    <row r="221">
      <c r="A221" s="7" t="s">
        <v>665</v>
      </c>
      <c r="B221" s="7">
        <v>0.03755</v>
      </c>
      <c r="C221" s="7">
        <v>50.0</v>
      </c>
      <c r="D221" s="7" t="s">
        <v>26</v>
      </c>
      <c r="E221" s="7" t="s">
        <v>669</v>
      </c>
      <c r="F221" s="7">
        <v>1.93127</v>
      </c>
      <c r="G221" s="7">
        <v>100.0</v>
      </c>
      <c r="H221" s="7" t="s">
        <v>15</v>
      </c>
      <c r="I221" s="7" t="s">
        <v>669</v>
      </c>
      <c r="J221" s="7">
        <v>2.01523</v>
      </c>
      <c r="K221" s="7">
        <v>100.0</v>
      </c>
      <c r="L221" s="7" t="s">
        <v>15</v>
      </c>
      <c r="M221" s="7" t="s">
        <v>669</v>
      </c>
      <c r="O221" s="7">
        <v>100.0</v>
      </c>
      <c r="P221" s="7" t="s">
        <v>15</v>
      </c>
      <c r="Q221" s="7" t="s">
        <v>669</v>
      </c>
      <c r="S221" s="7">
        <v>100.0</v>
      </c>
      <c r="T221" s="7" t="s">
        <v>15</v>
      </c>
    </row>
    <row r="222">
      <c r="A222" s="7" t="s">
        <v>670</v>
      </c>
      <c r="B222" s="7">
        <v>0.03718</v>
      </c>
      <c r="C222" s="7">
        <v>65.45</v>
      </c>
      <c r="D222" s="7" t="s">
        <v>26</v>
      </c>
      <c r="E222" s="7" t="s">
        <v>671</v>
      </c>
      <c r="F222" s="7">
        <v>1.8704</v>
      </c>
      <c r="G222" s="7">
        <v>100.0</v>
      </c>
      <c r="H222" s="7" t="s">
        <v>15</v>
      </c>
      <c r="I222" s="7" t="s">
        <v>672</v>
      </c>
      <c r="J222" s="7">
        <v>1.85508</v>
      </c>
      <c r="K222" s="7">
        <v>90.48</v>
      </c>
      <c r="L222" s="7" t="s">
        <v>26</v>
      </c>
      <c r="M222" s="7" t="s">
        <v>673</v>
      </c>
      <c r="O222" s="7">
        <v>90.48</v>
      </c>
      <c r="P222" s="7" t="s">
        <v>26</v>
      </c>
      <c r="Q222" s="7" t="s">
        <v>673</v>
      </c>
      <c r="S222" s="7">
        <v>90.48</v>
      </c>
      <c r="T222" s="7" t="s">
        <v>26</v>
      </c>
    </row>
    <row r="223">
      <c r="A223" s="7" t="s">
        <v>674</v>
      </c>
      <c r="B223" s="7">
        <v>0.07619</v>
      </c>
      <c r="C223" s="7">
        <v>68.85</v>
      </c>
      <c r="D223" s="7" t="s">
        <v>26</v>
      </c>
      <c r="E223" s="7" t="s">
        <v>675</v>
      </c>
      <c r="F223" s="7">
        <v>1.9115</v>
      </c>
      <c r="G223" s="7">
        <v>100.0</v>
      </c>
      <c r="H223" s="7" t="s">
        <v>15</v>
      </c>
      <c r="I223" s="7" t="s">
        <v>676</v>
      </c>
      <c r="J223" s="7">
        <v>1.93005</v>
      </c>
      <c r="K223" s="7">
        <v>91.67</v>
      </c>
      <c r="L223" s="7" t="s">
        <v>26</v>
      </c>
      <c r="M223" s="7" t="s">
        <v>677</v>
      </c>
      <c r="O223" s="7">
        <v>91.67</v>
      </c>
      <c r="P223" s="7" t="s">
        <v>26</v>
      </c>
      <c r="Q223" s="7" t="s">
        <v>677</v>
      </c>
      <c r="S223" s="7">
        <v>91.67</v>
      </c>
      <c r="T223" s="7" t="s">
        <v>26</v>
      </c>
    </row>
    <row r="224">
      <c r="A224" s="7" t="s">
        <v>678</v>
      </c>
      <c r="B224" s="7">
        <v>0.03772</v>
      </c>
      <c r="C224" s="7">
        <v>83.33</v>
      </c>
      <c r="D224" s="7" t="s">
        <v>26</v>
      </c>
      <c r="E224" s="7" t="s">
        <v>679</v>
      </c>
      <c r="F224" s="7">
        <v>1.93685</v>
      </c>
      <c r="G224" s="7">
        <v>100.0</v>
      </c>
      <c r="H224" s="7" t="s">
        <v>15</v>
      </c>
      <c r="I224" s="7" t="s">
        <v>680</v>
      </c>
      <c r="J224" s="7">
        <v>2.19126</v>
      </c>
      <c r="K224" s="7">
        <v>92.31</v>
      </c>
      <c r="L224" s="7" t="s">
        <v>26</v>
      </c>
      <c r="M224" s="7" t="s">
        <v>681</v>
      </c>
      <c r="O224" s="7">
        <v>92.31</v>
      </c>
      <c r="P224" s="7" t="s">
        <v>26</v>
      </c>
      <c r="Q224" s="7" t="s">
        <v>681</v>
      </c>
      <c r="S224" s="7">
        <v>92.31</v>
      </c>
      <c r="T224" s="7" t="s">
        <v>26</v>
      </c>
    </row>
    <row r="225">
      <c r="A225" s="7" t="s">
        <v>682</v>
      </c>
      <c r="B225" s="7">
        <v>0.03146</v>
      </c>
      <c r="C225" s="7">
        <v>65.45</v>
      </c>
      <c r="D225" s="7" t="s">
        <v>26</v>
      </c>
      <c r="E225" s="7" t="s">
        <v>683</v>
      </c>
      <c r="F225" s="7">
        <v>1.90041</v>
      </c>
      <c r="G225" s="7">
        <v>100.0</v>
      </c>
      <c r="H225" s="7" t="s">
        <v>15</v>
      </c>
      <c r="I225" s="7" t="s">
        <v>684</v>
      </c>
      <c r="J225" s="7">
        <v>2.12694</v>
      </c>
      <c r="K225" s="7">
        <v>90.48</v>
      </c>
      <c r="L225" s="7" t="s">
        <v>26</v>
      </c>
      <c r="M225" s="7" t="s">
        <v>684</v>
      </c>
      <c r="O225" s="7">
        <v>90.48</v>
      </c>
      <c r="P225" s="7" t="s">
        <v>26</v>
      </c>
      <c r="Q225" s="7" t="s">
        <v>684</v>
      </c>
      <c r="S225" s="7">
        <v>90.48</v>
      </c>
      <c r="T225" s="7" t="s">
        <v>26</v>
      </c>
    </row>
    <row r="226">
      <c r="A226" s="7" t="s">
        <v>685</v>
      </c>
      <c r="B226" s="7">
        <v>0.06284</v>
      </c>
      <c r="C226" s="7">
        <v>76.67</v>
      </c>
      <c r="D226" s="7" t="s">
        <v>26</v>
      </c>
      <c r="E226" s="7" t="s">
        <v>686</v>
      </c>
      <c r="F226" s="7">
        <v>2.04352</v>
      </c>
      <c r="G226" s="7">
        <v>100.0</v>
      </c>
      <c r="H226" s="7" t="s">
        <v>15</v>
      </c>
      <c r="I226" s="7" t="s">
        <v>687</v>
      </c>
      <c r="J226" s="7">
        <v>1.9441</v>
      </c>
      <c r="K226" s="7">
        <v>92.59</v>
      </c>
      <c r="L226" s="7" t="s">
        <v>26</v>
      </c>
      <c r="M226" s="7" t="s">
        <v>688</v>
      </c>
      <c r="O226" s="7">
        <v>92.59</v>
      </c>
      <c r="P226" s="7" t="s">
        <v>26</v>
      </c>
      <c r="Q226" s="7" t="s">
        <v>688</v>
      </c>
      <c r="S226" s="7">
        <v>92.59</v>
      </c>
      <c r="T226" s="7" t="s">
        <v>26</v>
      </c>
    </row>
    <row r="227">
      <c r="A227" s="7" t="s">
        <v>689</v>
      </c>
      <c r="B227" s="7">
        <v>0.04783</v>
      </c>
      <c r="C227" s="7">
        <v>77.55</v>
      </c>
      <c r="D227" s="7" t="s">
        <v>26</v>
      </c>
      <c r="E227" s="7" t="s">
        <v>690</v>
      </c>
      <c r="F227" s="7">
        <v>1.89052</v>
      </c>
      <c r="G227" s="7">
        <v>100.0</v>
      </c>
      <c r="H227" s="7" t="s">
        <v>15</v>
      </c>
      <c r="I227" s="7" t="s">
        <v>691</v>
      </c>
      <c r="J227" s="7">
        <v>3.16558</v>
      </c>
      <c r="K227" s="7">
        <v>92.31</v>
      </c>
      <c r="L227" s="7" t="s">
        <v>26</v>
      </c>
      <c r="M227" s="7" t="s">
        <v>692</v>
      </c>
      <c r="O227" s="7">
        <v>92.31</v>
      </c>
      <c r="P227" s="7" t="s">
        <v>26</v>
      </c>
      <c r="Q227" s="7" t="s">
        <v>692</v>
      </c>
      <c r="S227" s="7">
        <v>92.31</v>
      </c>
      <c r="T227" s="7" t="s">
        <v>26</v>
      </c>
    </row>
    <row r="228">
      <c r="A228" s="7" t="s">
        <v>693</v>
      </c>
      <c r="B228" s="7">
        <v>0.07696</v>
      </c>
      <c r="C228" s="7">
        <v>73.33</v>
      </c>
      <c r="D228" s="7" t="s">
        <v>26</v>
      </c>
      <c r="E228" s="7" t="s">
        <v>694</v>
      </c>
      <c r="F228" s="7">
        <v>2.10833</v>
      </c>
      <c r="G228" s="7">
        <v>100.0</v>
      </c>
      <c r="H228" s="7" t="s">
        <v>15</v>
      </c>
      <c r="I228" s="7" t="s">
        <v>695</v>
      </c>
      <c r="J228" s="7">
        <v>2.34614</v>
      </c>
      <c r="K228" s="7">
        <v>92.86</v>
      </c>
      <c r="L228" s="7" t="s">
        <v>26</v>
      </c>
      <c r="M228" s="7" t="s">
        <v>695</v>
      </c>
      <c r="O228" s="7">
        <v>92.86</v>
      </c>
      <c r="P228" s="7" t="s">
        <v>26</v>
      </c>
      <c r="Q228" s="7" t="s">
        <v>695</v>
      </c>
      <c r="S228" s="7">
        <v>92.86</v>
      </c>
      <c r="T228" s="7" t="s">
        <v>26</v>
      </c>
    </row>
    <row r="229">
      <c r="A229" s="7" t="s">
        <v>696</v>
      </c>
      <c r="B229" s="7">
        <v>0.04919</v>
      </c>
      <c r="C229" s="7">
        <v>81.36</v>
      </c>
      <c r="D229" s="7" t="s">
        <v>26</v>
      </c>
      <c r="E229" s="7" t="s">
        <v>697</v>
      </c>
      <c r="F229" s="7">
        <v>1.70972</v>
      </c>
      <c r="G229" s="7">
        <v>93.55</v>
      </c>
      <c r="H229" s="7" t="s">
        <v>26</v>
      </c>
      <c r="I229" s="7" t="s">
        <v>697</v>
      </c>
      <c r="J229" s="7">
        <v>1.87466</v>
      </c>
      <c r="K229" s="7">
        <v>93.55</v>
      </c>
      <c r="L229" s="7" t="s">
        <v>26</v>
      </c>
      <c r="M229" s="7" t="s">
        <v>697</v>
      </c>
      <c r="O229" s="7">
        <v>93.55</v>
      </c>
      <c r="P229" s="7" t="s">
        <v>26</v>
      </c>
      <c r="Q229" s="7" t="s">
        <v>697</v>
      </c>
      <c r="S229" s="7">
        <v>93.55</v>
      </c>
      <c r="T229" s="7" t="s">
        <v>26</v>
      </c>
    </row>
    <row r="230">
      <c r="A230" s="7" t="s">
        <v>698</v>
      </c>
      <c r="B230" s="7">
        <v>0.05948</v>
      </c>
      <c r="C230" s="7">
        <v>80.7</v>
      </c>
      <c r="D230" s="7" t="s">
        <v>26</v>
      </c>
      <c r="E230" s="7" t="s">
        <v>699</v>
      </c>
      <c r="F230" s="7">
        <v>2.07913</v>
      </c>
      <c r="G230" s="7">
        <v>93.33</v>
      </c>
      <c r="H230" s="7" t="s">
        <v>26</v>
      </c>
      <c r="I230" s="7" t="s">
        <v>700</v>
      </c>
      <c r="J230" s="7">
        <v>2.29156</v>
      </c>
      <c r="K230" s="7">
        <v>93.33</v>
      </c>
      <c r="L230" s="7" t="s">
        <v>26</v>
      </c>
      <c r="M230" s="7" t="s">
        <v>699</v>
      </c>
      <c r="O230" s="7">
        <v>93.33</v>
      </c>
      <c r="P230" s="7" t="s">
        <v>26</v>
      </c>
      <c r="Q230" s="7" t="s">
        <v>699</v>
      </c>
      <c r="S230" s="7">
        <v>93.33</v>
      </c>
      <c r="T230" s="7" t="s">
        <v>26</v>
      </c>
    </row>
    <row r="231">
      <c r="A231" s="7" t="s">
        <v>701</v>
      </c>
      <c r="B231" s="7">
        <v>0.0348</v>
      </c>
      <c r="C231" s="7">
        <v>80.7</v>
      </c>
      <c r="D231" s="7" t="s">
        <v>26</v>
      </c>
      <c r="E231" s="7" t="s">
        <v>702</v>
      </c>
      <c r="F231" s="7">
        <v>2.19678</v>
      </c>
      <c r="G231" s="7">
        <v>93.33</v>
      </c>
      <c r="H231" s="7" t="s">
        <v>26</v>
      </c>
      <c r="I231" s="7" t="s">
        <v>702</v>
      </c>
      <c r="J231" s="7">
        <v>2.71727</v>
      </c>
      <c r="K231" s="7">
        <v>93.33</v>
      </c>
      <c r="L231" s="7" t="s">
        <v>26</v>
      </c>
      <c r="M231" s="7" t="s">
        <v>703</v>
      </c>
      <c r="O231" s="7">
        <v>93.33</v>
      </c>
      <c r="P231" s="7" t="s">
        <v>26</v>
      </c>
      <c r="Q231" s="7" t="s">
        <v>703</v>
      </c>
      <c r="S231" s="7">
        <v>93.33</v>
      </c>
      <c r="T231" s="7" t="s">
        <v>26</v>
      </c>
    </row>
    <row r="232">
      <c r="A232" s="7" t="s">
        <v>704</v>
      </c>
      <c r="B232" s="7">
        <v>0.03257</v>
      </c>
      <c r="C232" s="7">
        <v>74.07</v>
      </c>
      <c r="D232" s="7" t="s">
        <v>26</v>
      </c>
      <c r="E232" s="7" t="s">
        <v>705</v>
      </c>
      <c r="F232" s="7">
        <v>2.50755</v>
      </c>
      <c r="G232" s="7">
        <v>100.0</v>
      </c>
      <c r="H232" s="7" t="s">
        <v>15</v>
      </c>
      <c r="I232" s="7" t="s">
        <v>706</v>
      </c>
      <c r="J232" s="7">
        <v>2.05804</v>
      </c>
      <c r="K232" s="7">
        <v>92.0</v>
      </c>
      <c r="L232" s="7" t="s">
        <v>26</v>
      </c>
      <c r="M232" s="7" t="s">
        <v>706</v>
      </c>
      <c r="O232" s="7">
        <v>92.0</v>
      </c>
      <c r="P232" s="7" t="s">
        <v>26</v>
      </c>
      <c r="Q232" s="7" t="s">
        <v>706</v>
      </c>
      <c r="S232" s="7">
        <v>92.0</v>
      </c>
      <c r="T232" s="7" t="s">
        <v>26</v>
      </c>
    </row>
    <row r="233">
      <c r="A233" s="7" t="s">
        <v>707</v>
      </c>
      <c r="B233" s="7">
        <v>0.05777</v>
      </c>
      <c r="C233" s="7">
        <v>79.25</v>
      </c>
      <c r="D233" s="7" t="s">
        <v>26</v>
      </c>
      <c r="E233" s="7" t="s">
        <v>708</v>
      </c>
      <c r="F233" s="7">
        <v>1.91684</v>
      </c>
      <c r="G233" s="7">
        <v>100.0</v>
      </c>
      <c r="H233" s="7" t="s">
        <v>15</v>
      </c>
      <c r="I233" s="7" t="s">
        <v>709</v>
      </c>
      <c r="J233" s="7">
        <v>2.17931</v>
      </c>
      <c r="K233" s="7">
        <v>92.86</v>
      </c>
      <c r="L233" s="7" t="s">
        <v>26</v>
      </c>
      <c r="M233" s="7" t="s">
        <v>709</v>
      </c>
      <c r="O233" s="7">
        <v>92.86</v>
      </c>
      <c r="P233" s="7" t="s">
        <v>26</v>
      </c>
      <c r="Q233" s="7" t="s">
        <v>709</v>
      </c>
      <c r="S233" s="7">
        <v>92.86</v>
      </c>
      <c r="T233" s="7" t="s">
        <v>26</v>
      </c>
    </row>
    <row r="234">
      <c r="A234" s="7" t="s">
        <v>710</v>
      </c>
      <c r="B234" s="7">
        <v>0.06111</v>
      </c>
      <c r="C234" s="7">
        <v>78.43</v>
      </c>
      <c r="D234" s="7" t="s">
        <v>26</v>
      </c>
      <c r="E234" s="7" t="s">
        <v>711</v>
      </c>
      <c r="F234" s="7">
        <v>1.86436</v>
      </c>
      <c r="G234" s="7">
        <v>100.0</v>
      </c>
      <c r="H234" s="7" t="s">
        <v>15</v>
      </c>
      <c r="I234" s="7" t="s">
        <v>712</v>
      </c>
      <c r="J234" s="7">
        <v>2.36011</v>
      </c>
      <c r="K234" s="7">
        <v>92.59</v>
      </c>
      <c r="L234" s="7" t="s">
        <v>26</v>
      </c>
      <c r="M234" s="7" t="s">
        <v>712</v>
      </c>
      <c r="O234" s="7">
        <v>92.59</v>
      </c>
      <c r="P234" s="7" t="s">
        <v>26</v>
      </c>
      <c r="Q234" s="7" t="s">
        <v>712</v>
      </c>
      <c r="S234" s="7">
        <v>92.59</v>
      </c>
      <c r="T234" s="7" t="s">
        <v>26</v>
      </c>
    </row>
    <row r="235">
      <c r="A235" s="7" t="s">
        <v>713</v>
      </c>
      <c r="B235" s="7">
        <v>0.03134</v>
      </c>
      <c r="C235" s="7">
        <v>66.67</v>
      </c>
      <c r="D235" s="7" t="s">
        <v>26</v>
      </c>
      <c r="E235" s="7" t="s">
        <v>714</v>
      </c>
      <c r="F235" s="7">
        <v>1.74883</v>
      </c>
      <c r="G235" s="7">
        <v>100.0</v>
      </c>
      <c r="H235" s="7" t="s">
        <v>15</v>
      </c>
      <c r="I235" s="7" t="s">
        <v>715</v>
      </c>
      <c r="J235" s="7">
        <v>1.78708</v>
      </c>
      <c r="K235" s="7">
        <v>90.91</v>
      </c>
      <c r="L235" s="7" t="s">
        <v>26</v>
      </c>
      <c r="M235" s="7" t="s">
        <v>715</v>
      </c>
      <c r="O235" s="7">
        <v>90.91</v>
      </c>
      <c r="P235" s="7" t="s">
        <v>26</v>
      </c>
      <c r="Q235" s="7" t="s">
        <v>715</v>
      </c>
      <c r="S235" s="7">
        <v>90.91</v>
      </c>
      <c r="T235" s="7" t="s">
        <v>26</v>
      </c>
    </row>
    <row r="236">
      <c r="A236" s="7" t="s">
        <v>716</v>
      </c>
      <c r="B236" s="7">
        <v>0.07486</v>
      </c>
      <c r="C236" s="7">
        <v>79.25</v>
      </c>
      <c r="D236" s="7" t="s">
        <v>26</v>
      </c>
      <c r="E236" s="7" t="s">
        <v>717</v>
      </c>
      <c r="F236" s="7">
        <v>1.78612</v>
      </c>
      <c r="G236" s="7">
        <v>100.0</v>
      </c>
      <c r="H236" s="7" t="s">
        <v>15</v>
      </c>
      <c r="I236" s="7" t="s">
        <v>718</v>
      </c>
      <c r="J236" s="7">
        <v>1.94636</v>
      </c>
      <c r="K236" s="7">
        <v>92.86</v>
      </c>
      <c r="L236" s="7" t="s">
        <v>26</v>
      </c>
      <c r="M236" s="7" t="s">
        <v>718</v>
      </c>
      <c r="O236" s="7">
        <v>92.86</v>
      </c>
      <c r="P236" s="7" t="s">
        <v>26</v>
      </c>
      <c r="Q236" s="7" t="s">
        <v>718</v>
      </c>
      <c r="S236" s="7">
        <v>92.86</v>
      </c>
      <c r="T236" s="7" t="s">
        <v>26</v>
      </c>
    </row>
    <row r="237">
      <c r="A237" s="7" t="s">
        <v>719</v>
      </c>
      <c r="B237" s="7">
        <v>0.14294</v>
      </c>
      <c r="C237" s="7">
        <v>100.0</v>
      </c>
      <c r="D237" s="7" t="s">
        <v>15</v>
      </c>
      <c r="E237" s="7" t="s">
        <v>720</v>
      </c>
      <c r="F237" s="7">
        <v>2.17918</v>
      </c>
      <c r="G237" s="7">
        <v>100.0</v>
      </c>
      <c r="H237" s="7" t="s">
        <v>15</v>
      </c>
      <c r="I237" s="7" t="s">
        <v>720</v>
      </c>
      <c r="J237" s="7">
        <v>1.94036</v>
      </c>
      <c r="K237" s="7">
        <v>100.0</v>
      </c>
      <c r="L237" s="7" t="s">
        <v>15</v>
      </c>
      <c r="M237" s="7" t="s">
        <v>720</v>
      </c>
      <c r="O237" s="7">
        <v>100.0</v>
      </c>
      <c r="P237" s="7" t="s">
        <v>15</v>
      </c>
      <c r="Q237" s="7" t="s">
        <v>720</v>
      </c>
      <c r="S237" s="7">
        <v>100.0</v>
      </c>
      <c r="T237" s="7" t="s">
        <v>15</v>
      </c>
    </row>
    <row r="238">
      <c r="A238" s="7" t="s">
        <v>721</v>
      </c>
      <c r="B238" s="7">
        <v>0.07219</v>
      </c>
      <c r="C238" s="7">
        <v>100.0</v>
      </c>
      <c r="D238" s="7" t="s">
        <v>15</v>
      </c>
      <c r="E238" s="7" t="s">
        <v>722</v>
      </c>
      <c r="F238" s="7">
        <v>1.9589</v>
      </c>
      <c r="G238" s="7">
        <v>100.0</v>
      </c>
      <c r="H238" s="7" t="s">
        <v>15</v>
      </c>
      <c r="I238" s="7" t="s">
        <v>722</v>
      </c>
      <c r="J238" s="7">
        <v>1.77572</v>
      </c>
      <c r="K238" s="7">
        <v>100.0</v>
      </c>
      <c r="L238" s="7" t="s">
        <v>15</v>
      </c>
      <c r="M238" s="7" t="s">
        <v>722</v>
      </c>
      <c r="O238" s="7">
        <v>100.0</v>
      </c>
      <c r="P238" s="7" t="s">
        <v>15</v>
      </c>
      <c r="Q238" s="7" t="s">
        <v>722</v>
      </c>
      <c r="S238" s="7">
        <v>100.0</v>
      </c>
      <c r="T238" s="7" t="s">
        <v>15</v>
      </c>
    </row>
    <row r="239">
      <c r="A239" s="7" t="s">
        <v>723</v>
      </c>
      <c r="B239" s="7">
        <v>0.05356</v>
      </c>
      <c r="C239" s="7">
        <v>100.0</v>
      </c>
      <c r="D239" s="7" t="s">
        <v>15</v>
      </c>
      <c r="E239" s="7" t="s">
        <v>724</v>
      </c>
      <c r="F239" s="7">
        <v>1.80094</v>
      </c>
      <c r="G239" s="7">
        <v>100.0</v>
      </c>
      <c r="H239" s="7" t="s">
        <v>15</v>
      </c>
      <c r="I239" s="7" t="s">
        <v>724</v>
      </c>
      <c r="J239" s="7">
        <v>1.76091</v>
      </c>
      <c r="K239" s="7">
        <v>100.0</v>
      </c>
      <c r="L239" s="7" t="s">
        <v>15</v>
      </c>
      <c r="M239" s="7" t="s">
        <v>724</v>
      </c>
      <c r="O239" s="7">
        <v>100.0</v>
      </c>
      <c r="P239" s="7" t="s">
        <v>15</v>
      </c>
      <c r="Q239" s="7" t="s">
        <v>724</v>
      </c>
      <c r="S239" s="7">
        <v>100.0</v>
      </c>
      <c r="T239" s="7" t="s">
        <v>15</v>
      </c>
    </row>
    <row r="240">
      <c r="A240" s="7" t="s">
        <v>725</v>
      </c>
      <c r="B240" s="7">
        <v>0.0545</v>
      </c>
      <c r="C240" s="7">
        <v>100.0</v>
      </c>
      <c r="D240" s="7" t="s">
        <v>15</v>
      </c>
      <c r="E240" s="7" t="s">
        <v>726</v>
      </c>
      <c r="F240" s="7">
        <v>1.8324</v>
      </c>
      <c r="G240" s="7">
        <v>100.0</v>
      </c>
      <c r="H240" s="7" t="s">
        <v>15</v>
      </c>
      <c r="I240" s="7" t="s">
        <v>726</v>
      </c>
      <c r="J240" s="7">
        <v>2.35535</v>
      </c>
      <c r="K240" s="7">
        <v>100.0</v>
      </c>
      <c r="L240" s="7" t="s">
        <v>15</v>
      </c>
      <c r="M240" s="7" t="s">
        <v>726</v>
      </c>
      <c r="O240" s="7">
        <v>100.0</v>
      </c>
      <c r="P240" s="7" t="s">
        <v>15</v>
      </c>
      <c r="Q240" s="7" t="s">
        <v>726</v>
      </c>
      <c r="S240" s="7">
        <v>100.0</v>
      </c>
      <c r="T240" s="7" t="s">
        <v>15</v>
      </c>
    </row>
    <row r="241">
      <c r="A241" s="7" t="s">
        <v>727</v>
      </c>
      <c r="B241" s="7">
        <v>0.06978</v>
      </c>
      <c r="C241" s="7">
        <v>100.0</v>
      </c>
      <c r="D241" s="7" t="s">
        <v>15</v>
      </c>
      <c r="E241" s="7" t="s">
        <v>728</v>
      </c>
      <c r="F241" s="7">
        <v>2.23465</v>
      </c>
      <c r="G241" s="7">
        <v>100.0</v>
      </c>
      <c r="H241" s="7" t="s">
        <v>15</v>
      </c>
      <c r="I241" s="7" t="s">
        <v>728</v>
      </c>
      <c r="J241" s="7">
        <v>1.82544</v>
      </c>
      <c r="K241" s="7">
        <v>100.0</v>
      </c>
      <c r="L241" s="7" t="s">
        <v>15</v>
      </c>
      <c r="M241" s="7" t="s">
        <v>728</v>
      </c>
      <c r="O241" s="7">
        <v>100.0</v>
      </c>
      <c r="P241" s="7" t="s">
        <v>15</v>
      </c>
      <c r="Q241" s="7" t="s">
        <v>728</v>
      </c>
      <c r="S241" s="7">
        <v>100.0</v>
      </c>
      <c r="T241" s="7" t="s">
        <v>15</v>
      </c>
    </row>
    <row r="242">
      <c r="A242" s="7" t="s">
        <v>729</v>
      </c>
      <c r="B242" s="7">
        <v>0.07225</v>
      </c>
      <c r="C242" s="7">
        <v>100.0</v>
      </c>
      <c r="D242" s="7" t="s">
        <v>15</v>
      </c>
      <c r="E242" s="7" t="s">
        <v>730</v>
      </c>
      <c r="F242" s="7">
        <v>2.23093</v>
      </c>
      <c r="G242" s="7">
        <v>100.0</v>
      </c>
      <c r="H242" s="7" t="s">
        <v>15</v>
      </c>
      <c r="I242" s="7" t="s">
        <v>730</v>
      </c>
      <c r="J242" s="7">
        <v>1.83817</v>
      </c>
      <c r="K242" s="7">
        <v>100.0</v>
      </c>
      <c r="L242" s="7" t="s">
        <v>15</v>
      </c>
      <c r="M242" s="7" t="s">
        <v>730</v>
      </c>
      <c r="O242" s="7">
        <v>100.0</v>
      </c>
      <c r="P242" s="7" t="s">
        <v>15</v>
      </c>
      <c r="Q242" s="7" t="s">
        <v>730</v>
      </c>
      <c r="S242" s="7">
        <v>100.0</v>
      </c>
      <c r="T242" s="7" t="s">
        <v>15</v>
      </c>
    </row>
    <row r="243">
      <c r="A243" s="7" t="s">
        <v>731</v>
      </c>
      <c r="B243" s="7">
        <v>0.0348</v>
      </c>
      <c r="C243" s="7">
        <v>100.0</v>
      </c>
      <c r="D243" s="7" t="s">
        <v>15</v>
      </c>
      <c r="E243" s="7" t="s">
        <v>732</v>
      </c>
      <c r="F243" s="7">
        <v>2.01655</v>
      </c>
      <c r="G243" s="7">
        <v>100.0</v>
      </c>
      <c r="H243" s="7" t="s">
        <v>15</v>
      </c>
      <c r="I243" s="7" t="s">
        <v>732</v>
      </c>
      <c r="J243" s="7">
        <v>1.9155</v>
      </c>
      <c r="K243" s="7">
        <v>100.0</v>
      </c>
      <c r="L243" s="7" t="s">
        <v>15</v>
      </c>
      <c r="M243" s="7" t="s">
        <v>732</v>
      </c>
      <c r="O243" s="7">
        <v>100.0</v>
      </c>
      <c r="P243" s="7" t="s">
        <v>15</v>
      </c>
      <c r="Q243" s="7" t="s">
        <v>732</v>
      </c>
      <c r="S243" s="7">
        <v>100.0</v>
      </c>
      <c r="T243" s="7" t="s">
        <v>15</v>
      </c>
    </row>
    <row r="244">
      <c r="A244" s="7" t="s">
        <v>733</v>
      </c>
      <c r="B244" s="7">
        <v>0.05916</v>
      </c>
      <c r="C244" s="7">
        <v>100.0</v>
      </c>
      <c r="D244" s="7" t="s">
        <v>15</v>
      </c>
      <c r="E244" s="7" t="s">
        <v>734</v>
      </c>
      <c r="F244" s="7">
        <v>2.05592</v>
      </c>
      <c r="G244" s="7">
        <v>100.0</v>
      </c>
      <c r="H244" s="7" t="s">
        <v>15</v>
      </c>
      <c r="I244" s="7" t="s">
        <v>734</v>
      </c>
      <c r="J244" s="7">
        <v>4.36163</v>
      </c>
      <c r="K244" s="7">
        <v>100.0</v>
      </c>
      <c r="L244" s="7" t="s">
        <v>15</v>
      </c>
      <c r="M244" s="7" t="s">
        <v>734</v>
      </c>
      <c r="O244" s="7">
        <v>100.0</v>
      </c>
      <c r="P244" s="7" t="s">
        <v>15</v>
      </c>
      <c r="Q244" s="7" t="s">
        <v>734</v>
      </c>
      <c r="S244" s="7">
        <v>100.0</v>
      </c>
      <c r="T244" s="7" t="s">
        <v>15</v>
      </c>
    </row>
    <row r="245">
      <c r="A245" s="7" t="s">
        <v>735</v>
      </c>
      <c r="B245" s="7">
        <v>0.05897</v>
      </c>
      <c r="C245" s="7">
        <v>100.0</v>
      </c>
      <c r="D245" s="7" t="s">
        <v>15</v>
      </c>
      <c r="E245" s="7" t="s">
        <v>736</v>
      </c>
      <c r="F245" s="7">
        <v>1.97275</v>
      </c>
      <c r="G245" s="7">
        <v>100.0</v>
      </c>
      <c r="H245" s="7" t="s">
        <v>15</v>
      </c>
      <c r="I245" s="7" t="s">
        <v>736</v>
      </c>
      <c r="J245" s="7">
        <v>1.71162</v>
      </c>
      <c r="K245" s="7">
        <v>100.0</v>
      </c>
      <c r="L245" s="7" t="s">
        <v>15</v>
      </c>
      <c r="M245" s="7" t="s">
        <v>736</v>
      </c>
      <c r="O245" s="7">
        <v>100.0</v>
      </c>
      <c r="P245" s="7" t="s">
        <v>15</v>
      </c>
      <c r="Q245" s="7" t="s">
        <v>736</v>
      </c>
      <c r="S245" s="7">
        <v>100.0</v>
      </c>
      <c r="T245" s="7" t="s">
        <v>15</v>
      </c>
    </row>
    <row r="246">
      <c r="A246" s="7" t="s">
        <v>737</v>
      </c>
      <c r="B246" s="7">
        <v>0.03768</v>
      </c>
      <c r="C246" s="7">
        <v>100.0</v>
      </c>
      <c r="D246" s="7" t="s">
        <v>15</v>
      </c>
      <c r="E246" s="7" t="s">
        <v>738</v>
      </c>
      <c r="F246" s="7">
        <v>1.9105</v>
      </c>
      <c r="G246" s="7">
        <v>100.0</v>
      </c>
      <c r="H246" s="7" t="s">
        <v>15</v>
      </c>
      <c r="I246" s="7" t="s">
        <v>738</v>
      </c>
      <c r="J246" s="7">
        <v>1.67707</v>
      </c>
      <c r="K246" s="7">
        <v>100.0</v>
      </c>
      <c r="L246" s="7" t="s">
        <v>15</v>
      </c>
      <c r="M246" s="7" t="s">
        <v>738</v>
      </c>
      <c r="O246" s="7">
        <v>100.0</v>
      </c>
      <c r="P246" s="7" t="s">
        <v>15</v>
      </c>
      <c r="Q246" s="7" t="s">
        <v>738</v>
      </c>
      <c r="S246" s="7">
        <v>100.0</v>
      </c>
      <c r="T246" s="7" t="s">
        <v>15</v>
      </c>
    </row>
    <row r="247">
      <c r="A247" s="7" t="s">
        <v>739</v>
      </c>
      <c r="B247" s="7">
        <v>0.03206</v>
      </c>
      <c r="C247" s="7">
        <v>100.0</v>
      </c>
      <c r="D247" s="7" t="s">
        <v>15</v>
      </c>
      <c r="E247" s="7" t="s">
        <v>740</v>
      </c>
      <c r="F247" s="7">
        <v>1.62904</v>
      </c>
      <c r="G247" s="7">
        <v>100.0</v>
      </c>
      <c r="H247" s="7" t="s">
        <v>15</v>
      </c>
      <c r="I247" s="7" t="s">
        <v>740</v>
      </c>
      <c r="J247" s="7">
        <v>1.90688</v>
      </c>
      <c r="K247" s="7">
        <v>100.0</v>
      </c>
      <c r="L247" s="7" t="s">
        <v>15</v>
      </c>
      <c r="M247" s="7" t="s">
        <v>740</v>
      </c>
      <c r="O247" s="7">
        <v>100.0</v>
      </c>
      <c r="P247" s="7" t="s">
        <v>15</v>
      </c>
      <c r="Q247" s="7" t="s">
        <v>740</v>
      </c>
      <c r="S247" s="7">
        <v>100.0</v>
      </c>
      <c r="T247" s="7" t="s">
        <v>15</v>
      </c>
    </row>
    <row r="248">
      <c r="A248" s="7" t="s">
        <v>741</v>
      </c>
      <c r="B248" s="7">
        <v>0.04019</v>
      </c>
      <c r="C248" s="7">
        <v>73.91</v>
      </c>
      <c r="D248" s="7" t="s">
        <v>26</v>
      </c>
      <c r="E248" s="7" t="s">
        <v>742</v>
      </c>
      <c r="F248" s="7">
        <v>1.79079</v>
      </c>
      <c r="G248" s="7">
        <v>73.91</v>
      </c>
      <c r="H248" s="7" t="s">
        <v>26</v>
      </c>
      <c r="I248" s="7" t="s">
        <v>741</v>
      </c>
      <c r="J248" s="7">
        <v>2.26441</v>
      </c>
      <c r="K248" s="7">
        <v>73.91</v>
      </c>
      <c r="L248" s="7" t="s">
        <v>26</v>
      </c>
      <c r="M248" s="7" t="s">
        <v>742</v>
      </c>
      <c r="O248" s="7">
        <v>73.91</v>
      </c>
      <c r="P248" s="7" t="s">
        <v>26</v>
      </c>
      <c r="Q248" s="7" t="s">
        <v>742</v>
      </c>
      <c r="S248" s="7">
        <v>73.91</v>
      </c>
      <c r="T248" s="7" t="s">
        <v>26</v>
      </c>
    </row>
    <row r="249">
      <c r="A249" s="7" t="s">
        <v>743</v>
      </c>
      <c r="B249" s="7">
        <v>0.03202</v>
      </c>
      <c r="C249" s="7">
        <v>77.78</v>
      </c>
      <c r="D249" s="7" t="s">
        <v>26</v>
      </c>
      <c r="E249" s="7" t="s">
        <v>744</v>
      </c>
      <c r="F249" s="7">
        <v>1.7742</v>
      </c>
      <c r="G249" s="7">
        <v>77.78</v>
      </c>
      <c r="H249" s="7" t="s">
        <v>26</v>
      </c>
      <c r="I249" s="7" t="s">
        <v>743</v>
      </c>
      <c r="J249" s="7">
        <v>2.16547</v>
      </c>
      <c r="K249" s="7">
        <v>77.78</v>
      </c>
      <c r="L249" s="7" t="s">
        <v>26</v>
      </c>
      <c r="M249" s="7" t="s">
        <v>744</v>
      </c>
      <c r="O249" s="7">
        <v>77.78</v>
      </c>
      <c r="P249" s="7" t="s">
        <v>26</v>
      </c>
      <c r="Q249" s="7" t="s">
        <v>744</v>
      </c>
      <c r="S249" s="7">
        <v>77.78</v>
      </c>
      <c r="T249" s="7" t="s">
        <v>26</v>
      </c>
    </row>
    <row r="250">
      <c r="A250" s="7" t="s">
        <v>745</v>
      </c>
      <c r="B250" s="7">
        <v>0.03419</v>
      </c>
      <c r="C250" s="7">
        <v>70.0</v>
      </c>
      <c r="D250" s="7" t="s">
        <v>26</v>
      </c>
      <c r="E250" s="7" t="s">
        <v>746</v>
      </c>
      <c r="F250" s="7">
        <v>2.00985</v>
      </c>
      <c r="G250" s="7">
        <v>65.12</v>
      </c>
      <c r="H250" s="7" t="s">
        <v>26</v>
      </c>
      <c r="I250" s="7" t="s">
        <v>745</v>
      </c>
      <c r="J250" s="7">
        <v>1.93047</v>
      </c>
      <c r="K250" s="7">
        <v>70.0</v>
      </c>
      <c r="L250" s="7" t="s">
        <v>26</v>
      </c>
      <c r="M250" s="7" t="s">
        <v>747</v>
      </c>
      <c r="O250" s="7">
        <v>70.0</v>
      </c>
      <c r="P250" s="7" t="s">
        <v>26</v>
      </c>
      <c r="Q250" s="7" t="s">
        <v>747</v>
      </c>
      <c r="S250" s="7">
        <v>70.0</v>
      </c>
      <c r="T250" s="7" t="s">
        <v>26</v>
      </c>
    </row>
    <row r="251">
      <c r="A251" s="7" t="s">
        <v>748</v>
      </c>
      <c r="B251" s="7">
        <v>0.04377</v>
      </c>
      <c r="C251" s="7">
        <v>79.37</v>
      </c>
      <c r="D251" s="7" t="s">
        <v>26</v>
      </c>
      <c r="E251" s="7" t="s">
        <v>749</v>
      </c>
      <c r="F251" s="7">
        <v>2.33915</v>
      </c>
      <c r="G251" s="7">
        <v>98.11</v>
      </c>
      <c r="H251" s="7" t="s">
        <v>26</v>
      </c>
      <c r="I251" s="7" t="s">
        <v>750</v>
      </c>
      <c r="J251" s="7">
        <v>2.12219</v>
      </c>
      <c r="K251" s="7">
        <v>96.15</v>
      </c>
      <c r="L251" s="7" t="s">
        <v>26</v>
      </c>
      <c r="M251" s="7" t="s">
        <v>751</v>
      </c>
      <c r="O251" s="7">
        <v>92.0</v>
      </c>
      <c r="P251" s="7" t="s">
        <v>26</v>
      </c>
      <c r="Q251" s="7" t="s">
        <v>752</v>
      </c>
      <c r="S251" s="7">
        <v>98.11</v>
      </c>
      <c r="T251" s="7" t="s">
        <v>26</v>
      </c>
    </row>
    <row r="252">
      <c r="A252" s="7" t="s">
        <v>753</v>
      </c>
      <c r="B252" s="7">
        <v>0.03372</v>
      </c>
      <c r="C252" s="7">
        <v>82.67</v>
      </c>
      <c r="D252" s="7" t="s">
        <v>26</v>
      </c>
      <c r="E252" s="7" t="s">
        <v>754</v>
      </c>
      <c r="F252" s="7">
        <v>2.34894</v>
      </c>
      <c r="G252" s="7">
        <v>98.46</v>
      </c>
      <c r="H252" s="7" t="s">
        <v>26</v>
      </c>
      <c r="I252" s="7" t="s">
        <v>755</v>
      </c>
      <c r="J252" s="7">
        <v>2.17835</v>
      </c>
      <c r="K252" s="7">
        <v>96.88</v>
      </c>
      <c r="L252" s="7" t="s">
        <v>26</v>
      </c>
      <c r="M252" s="7" t="s">
        <v>756</v>
      </c>
      <c r="O252" s="7">
        <v>93.55</v>
      </c>
      <c r="P252" s="7" t="s">
        <v>26</v>
      </c>
      <c r="Q252" s="7" t="s">
        <v>757</v>
      </c>
      <c r="S252" s="7">
        <v>98.46</v>
      </c>
      <c r="T252" s="7" t="s">
        <v>26</v>
      </c>
    </row>
    <row r="253">
      <c r="A253" s="7" t="s">
        <v>758</v>
      </c>
      <c r="B253" s="7">
        <v>0.13698</v>
      </c>
      <c r="C253" s="7">
        <v>82.19</v>
      </c>
      <c r="D253" s="7" t="s">
        <v>26</v>
      </c>
      <c r="E253" s="7" t="s">
        <v>759</v>
      </c>
      <c r="F253" s="7">
        <v>2.13812</v>
      </c>
      <c r="G253" s="7">
        <v>96.77</v>
      </c>
      <c r="H253" s="7" t="s">
        <v>26</v>
      </c>
      <c r="I253" s="7" t="s">
        <v>759</v>
      </c>
      <c r="J253" s="7">
        <v>1.86851</v>
      </c>
      <c r="K253" s="7">
        <v>96.77</v>
      </c>
      <c r="L253" s="7" t="s">
        <v>26</v>
      </c>
      <c r="M253" s="7" t="s">
        <v>760</v>
      </c>
      <c r="O253" s="7">
        <v>93.33</v>
      </c>
      <c r="P253" s="7" t="s">
        <v>26</v>
      </c>
      <c r="Q253" s="7" t="s">
        <v>761</v>
      </c>
      <c r="S253" s="7">
        <v>98.41</v>
      </c>
      <c r="T253" s="7" t="s">
        <v>26</v>
      </c>
    </row>
    <row r="254">
      <c r="A254" s="7" t="s">
        <v>762</v>
      </c>
      <c r="B254" s="7">
        <v>0.07535</v>
      </c>
      <c r="C254" s="7">
        <v>83.12</v>
      </c>
      <c r="D254" s="7" t="s">
        <v>26</v>
      </c>
      <c r="E254" s="7" t="s">
        <v>763</v>
      </c>
      <c r="F254" s="7">
        <v>1.82018</v>
      </c>
      <c r="G254" s="7">
        <v>98.51</v>
      </c>
      <c r="H254" s="7" t="s">
        <v>26</v>
      </c>
      <c r="I254" s="7" t="s">
        <v>763</v>
      </c>
      <c r="J254" s="7">
        <v>2.17019</v>
      </c>
      <c r="K254" s="7">
        <v>98.51</v>
      </c>
      <c r="L254" s="7" t="s">
        <v>26</v>
      </c>
      <c r="M254" s="7" t="s">
        <v>764</v>
      </c>
      <c r="O254" s="7">
        <v>93.75</v>
      </c>
      <c r="P254" s="7" t="s">
        <v>26</v>
      </c>
      <c r="Q254" s="7" t="s">
        <v>765</v>
      </c>
      <c r="S254" s="7">
        <v>98.51</v>
      </c>
      <c r="T254" s="7" t="s">
        <v>26</v>
      </c>
    </row>
    <row r="255">
      <c r="A255" s="7" t="s">
        <v>766</v>
      </c>
      <c r="B255" s="7">
        <v>0.06131</v>
      </c>
      <c r="C255" s="7">
        <v>82.67</v>
      </c>
      <c r="D255" s="7" t="s">
        <v>26</v>
      </c>
      <c r="E255" s="7" t="s">
        <v>767</v>
      </c>
      <c r="F255" s="7">
        <v>1.74702</v>
      </c>
      <c r="G255" s="7">
        <v>98.46</v>
      </c>
      <c r="H255" s="7" t="s">
        <v>26</v>
      </c>
      <c r="I255" s="7" t="s">
        <v>768</v>
      </c>
      <c r="J255" s="7">
        <v>2.608</v>
      </c>
      <c r="K255" s="7">
        <v>98.46</v>
      </c>
      <c r="L255" s="7" t="s">
        <v>26</v>
      </c>
      <c r="M255" s="7" t="s">
        <v>769</v>
      </c>
      <c r="O255" s="7">
        <v>93.55</v>
      </c>
      <c r="P255" s="7" t="s">
        <v>26</v>
      </c>
      <c r="Q255" s="7" t="s">
        <v>767</v>
      </c>
      <c r="S255" s="7">
        <v>98.46</v>
      </c>
      <c r="T255" s="7" t="s">
        <v>26</v>
      </c>
    </row>
    <row r="256">
      <c r="A256" s="7" t="s">
        <v>770</v>
      </c>
      <c r="B256" s="7">
        <v>0.06009</v>
      </c>
      <c r="C256" s="7">
        <v>81.16</v>
      </c>
      <c r="D256" s="7" t="s">
        <v>26</v>
      </c>
      <c r="E256" s="7" t="s">
        <v>771</v>
      </c>
      <c r="F256" s="7">
        <v>3.70639</v>
      </c>
      <c r="G256" s="7">
        <v>98.31</v>
      </c>
      <c r="H256" s="7" t="s">
        <v>26</v>
      </c>
      <c r="I256" s="7" t="s">
        <v>772</v>
      </c>
      <c r="J256" s="7">
        <v>2.80048</v>
      </c>
      <c r="K256" s="7">
        <v>96.55</v>
      </c>
      <c r="L256" s="7" t="s">
        <v>26</v>
      </c>
      <c r="M256" s="7" t="s">
        <v>773</v>
      </c>
      <c r="O256" s="7">
        <v>92.86</v>
      </c>
      <c r="P256" s="7" t="s">
        <v>26</v>
      </c>
      <c r="Q256" s="7" t="s">
        <v>774</v>
      </c>
      <c r="S256" s="7">
        <v>98.31</v>
      </c>
      <c r="T256" s="7" t="s">
        <v>26</v>
      </c>
    </row>
    <row r="257">
      <c r="A257" s="7" t="s">
        <v>775</v>
      </c>
      <c r="B257" s="7">
        <v>0.03228</v>
      </c>
      <c r="C257" s="7">
        <v>81.16</v>
      </c>
      <c r="D257" s="7" t="s">
        <v>26</v>
      </c>
      <c r="E257" s="7" t="s">
        <v>776</v>
      </c>
      <c r="F257" s="7">
        <v>1.89361</v>
      </c>
      <c r="G257" s="7">
        <v>98.31</v>
      </c>
      <c r="H257" s="7" t="s">
        <v>26</v>
      </c>
      <c r="I257" s="7" t="s">
        <v>777</v>
      </c>
      <c r="J257" s="7">
        <v>2.0467</v>
      </c>
      <c r="K257" s="7">
        <v>96.55</v>
      </c>
      <c r="L257" s="7" t="s">
        <v>26</v>
      </c>
      <c r="M257" s="7" t="s">
        <v>778</v>
      </c>
      <c r="O257" s="7">
        <v>92.86</v>
      </c>
      <c r="P257" s="7" t="s">
        <v>26</v>
      </c>
      <c r="Q257" s="7" t="s">
        <v>779</v>
      </c>
      <c r="S257" s="7">
        <v>98.31</v>
      </c>
      <c r="T257" s="7" t="s">
        <v>26</v>
      </c>
    </row>
    <row r="258">
      <c r="A258" s="7" t="s">
        <v>780</v>
      </c>
      <c r="B258" s="7">
        <v>0.06651</v>
      </c>
      <c r="C258" s="7">
        <v>80.0</v>
      </c>
      <c r="D258" s="7" t="s">
        <v>26</v>
      </c>
      <c r="E258" s="7" t="s">
        <v>781</v>
      </c>
      <c r="F258" s="7">
        <v>1.69275</v>
      </c>
      <c r="G258" s="7">
        <v>98.18</v>
      </c>
      <c r="H258" s="7" t="s">
        <v>26</v>
      </c>
      <c r="I258" s="7" t="s">
        <v>782</v>
      </c>
      <c r="J258" s="7">
        <v>1.98477</v>
      </c>
      <c r="K258" s="7">
        <v>96.3</v>
      </c>
      <c r="L258" s="7" t="s">
        <v>26</v>
      </c>
      <c r="M258" s="7" t="s">
        <v>783</v>
      </c>
      <c r="O258" s="7">
        <v>92.31</v>
      </c>
      <c r="P258" s="7" t="s">
        <v>26</v>
      </c>
      <c r="Q258" s="7" t="s">
        <v>784</v>
      </c>
      <c r="S258" s="7">
        <v>98.18</v>
      </c>
      <c r="T258" s="7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.38"/>
    <col customWidth="1" min="4" max="4" width="20.88"/>
    <col customWidth="1" min="5" max="5" width="17.25"/>
    <col customWidth="1" min="6" max="6" width="14.38"/>
    <col customWidth="1" min="9" max="9" width="17.63"/>
    <col customWidth="1" min="10" max="10" width="14.38"/>
    <col customWidth="1" min="13" max="13" width="17.25"/>
    <col customWidth="1" min="14" max="14" width="14.38"/>
    <col customWidth="1" min="15" max="15" width="13.0"/>
    <col customWidth="1" min="17" max="17" width="23.0"/>
    <col customWidth="1" min="18" max="18" width="14.38"/>
    <col customWidth="1" min="21" max="21" width="15.5"/>
    <col customWidth="1" min="22" max="22" width="22.5"/>
    <col customWidth="1" min="23" max="23" width="24.38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785</v>
      </c>
      <c r="B2" s="7">
        <v>0.37793</v>
      </c>
      <c r="C2" s="7">
        <v>66.67</v>
      </c>
      <c r="D2" s="7" t="s">
        <v>15</v>
      </c>
      <c r="E2" s="7" t="s">
        <v>786</v>
      </c>
      <c r="F2" s="7">
        <v>2.92754</v>
      </c>
      <c r="G2" s="7">
        <v>66.67</v>
      </c>
      <c r="H2" s="7" t="s">
        <v>26</v>
      </c>
      <c r="I2" s="7" t="s">
        <v>787</v>
      </c>
      <c r="J2" s="7">
        <v>2.05563</v>
      </c>
      <c r="K2" s="7">
        <v>64.52</v>
      </c>
      <c r="L2" s="7" t="s">
        <v>26</v>
      </c>
      <c r="M2" s="7" t="s">
        <v>786</v>
      </c>
      <c r="N2" s="7">
        <v>2.29922</v>
      </c>
      <c r="O2" s="7">
        <v>66.67</v>
      </c>
      <c r="P2" s="7" t="s">
        <v>26</v>
      </c>
      <c r="Q2" s="7" t="s">
        <v>787</v>
      </c>
      <c r="R2" s="7">
        <v>2.65273</v>
      </c>
      <c r="S2" s="7">
        <v>64.52</v>
      </c>
      <c r="T2" s="7" t="s">
        <v>26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788</v>
      </c>
      <c r="B3" s="7">
        <v>0.13367</v>
      </c>
      <c r="C3" s="7">
        <v>75.68</v>
      </c>
      <c r="D3" s="7" t="s">
        <v>15</v>
      </c>
      <c r="E3" s="7" t="s">
        <v>789</v>
      </c>
      <c r="F3" s="7">
        <v>2.39236</v>
      </c>
      <c r="G3" s="7">
        <v>75.68</v>
      </c>
      <c r="H3" s="7" t="s">
        <v>26</v>
      </c>
      <c r="I3" s="7" t="s">
        <v>789</v>
      </c>
      <c r="J3" s="7">
        <v>2.13186</v>
      </c>
      <c r="K3" s="7">
        <v>75.68</v>
      </c>
      <c r="L3" s="7" t="s">
        <v>26</v>
      </c>
      <c r="M3" s="7" t="s">
        <v>789</v>
      </c>
      <c r="O3" s="7">
        <v>75.68</v>
      </c>
      <c r="P3" s="7" t="s">
        <v>26</v>
      </c>
      <c r="Q3" s="7" t="s">
        <v>790</v>
      </c>
      <c r="S3" s="7">
        <v>73.17</v>
      </c>
      <c r="T3" s="7" t="s">
        <v>26</v>
      </c>
      <c r="U3" s="8">
        <f>AVERAGE(B2:B1000)</f>
        <v>0.2131933333</v>
      </c>
      <c r="V3" s="8">
        <f>AVERAGE(F2:F1000)</f>
        <v>2.6746</v>
      </c>
      <c r="W3" s="8">
        <f>AVERAGE(J2:J1000)</f>
        <v>2.011436667</v>
      </c>
      <c r="X3" s="8">
        <f>N2/COUNTA(M2:M1000)</f>
        <v>0.7664066667</v>
      </c>
      <c r="Y3" s="8">
        <f>R2/COUNTA(Q2:Q1000)</f>
        <v>0.8842433333</v>
      </c>
      <c r="Z3" s="7" t="s">
        <v>18</v>
      </c>
    </row>
    <row r="4">
      <c r="A4" s="7" t="s">
        <v>791</v>
      </c>
      <c r="B4" s="7">
        <v>0.12798</v>
      </c>
      <c r="C4" s="7">
        <v>72.22</v>
      </c>
      <c r="D4" s="7" t="s">
        <v>15</v>
      </c>
      <c r="E4" s="7" t="s">
        <v>792</v>
      </c>
      <c r="F4" s="7">
        <v>2.7039</v>
      </c>
      <c r="G4" s="7">
        <v>72.22</v>
      </c>
      <c r="H4" s="7" t="s">
        <v>26</v>
      </c>
      <c r="I4" s="7" t="s">
        <v>792</v>
      </c>
      <c r="J4" s="7">
        <v>1.84682</v>
      </c>
      <c r="K4" s="7">
        <v>72.22</v>
      </c>
      <c r="L4" s="7" t="s">
        <v>26</v>
      </c>
      <c r="M4" s="7" t="s">
        <v>792</v>
      </c>
      <c r="O4" s="7">
        <v>72.22</v>
      </c>
      <c r="P4" s="7" t="s">
        <v>26</v>
      </c>
      <c r="Q4" s="7" t="s">
        <v>793</v>
      </c>
      <c r="S4" s="7">
        <v>66.67</v>
      </c>
      <c r="T4" s="7" t="s">
        <v>26</v>
      </c>
      <c r="U4" s="8">
        <f>STDEV(B2:B1000)</f>
        <v>0.1426945025</v>
      </c>
      <c r="V4" s="8">
        <f>STDEV(F2:F1000)</f>
        <v>0.2687903934</v>
      </c>
      <c r="W4" s="8">
        <f>STDEV(J2:J1000)</f>
        <v>0.147569436</v>
      </c>
      <c r="X4" s="8"/>
      <c r="Y4" s="8"/>
      <c r="Z4" s="7" t="s">
        <v>20</v>
      </c>
    </row>
    <row r="5">
      <c r="D5" s="15"/>
      <c r="U5" s="8">
        <f>MAX(B2:B1000)</f>
        <v>0.37793</v>
      </c>
      <c r="V5" s="8">
        <f>MAX(F2:F1000)</f>
        <v>2.92754</v>
      </c>
      <c r="W5" s="8">
        <f>MAX(J2:J1000)</f>
        <v>2.13186</v>
      </c>
      <c r="X5" s="8"/>
      <c r="Y5" s="8"/>
      <c r="Z5" s="7" t="s">
        <v>22</v>
      </c>
    </row>
    <row r="6">
      <c r="U6" s="8">
        <f>MIN(B2:B1000)</f>
        <v>0.12798</v>
      </c>
      <c r="V6" s="8">
        <f>MIN(F2:F1000)</f>
        <v>2.39236</v>
      </c>
      <c r="W6" s="8">
        <f>MIN(J2:J1000)</f>
        <v>1.84682</v>
      </c>
      <c r="X6" s="8"/>
      <c r="Y6" s="8"/>
      <c r="Z6" s="7" t="s">
        <v>24</v>
      </c>
    </row>
    <row r="7">
      <c r="U7" s="8">
        <f>SUM(B2:B1000)</f>
        <v>0.63958</v>
      </c>
      <c r="V7" s="8">
        <f>SUM(F2:F1000)</f>
        <v>8.0238</v>
      </c>
      <c r="W7" s="8">
        <f>SUM(J2:J1000)</f>
        <v>6.03431</v>
      </c>
      <c r="X7" s="8">
        <f>N2</f>
        <v>2.29922</v>
      </c>
      <c r="Y7" s="8">
        <f>R2</f>
        <v>2.65273</v>
      </c>
      <c r="Z7" s="7" t="s">
        <v>28</v>
      </c>
    </row>
    <row r="8"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U9" s="9">
        <f>AVERAGE(C2:C1000)</f>
        <v>71.52333333</v>
      </c>
      <c r="V9" s="9">
        <f>AVERAGE(G2:G1000)</f>
        <v>71.52333333</v>
      </c>
      <c r="W9" s="9">
        <f>AVERAGE(K2:K1000)</f>
        <v>70.80666667</v>
      </c>
      <c r="X9" s="9">
        <f>AVERAGE(O2:O1000)</f>
        <v>71.52333333</v>
      </c>
      <c r="Y9" s="9">
        <f>AVERAGE(S2:S1000)</f>
        <v>68.12</v>
      </c>
      <c r="Z9" s="7" t="s">
        <v>18</v>
      </c>
    </row>
    <row r="10">
      <c r="U10" s="9">
        <f>STDEV(C2:C1000)</f>
        <v>4.545220933</v>
      </c>
      <c r="V10" s="9">
        <f>STDEV(G2:G1000)</f>
        <v>4.545220933</v>
      </c>
      <c r="W10" s="9">
        <f>STDEV(K2:K1000)</f>
        <v>5.712664294</v>
      </c>
      <c r="X10" s="9">
        <f>STDEV(O2:O1000)</f>
        <v>4.545220933</v>
      </c>
      <c r="Y10" s="9">
        <f>STDEV(S2:S1000)</f>
        <v>4.503609663</v>
      </c>
      <c r="Z10" s="7" t="s">
        <v>20</v>
      </c>
    </row>
    <row r="11">
      <c r="U11" s="9">
        <f>MAX(C2:C1000)</f>
        <v>75.68</v>
      </c>
      <c r="V11" s="9">
        <f>MAX(G2:G1000)</f>
        <v>75.68</v>
      </c>
      <c r="W11" s="9">
        <f>MAX(K2:K1000)</f>
        <v>75.68</v>
      </c>
      <c r="X11" s="9">
        <f>MAX(O2:O1000)</f>
        <v>75.68</v>
      </c>
      <c r="Y11" s="9">
        <f>MAX(S2:S1000)</f>
        <v>73.17</v>
      </c>
      <c r="Z11" s="7" t="s">
        <v>22</v>
      </c>
    </row>
    <row r="12">
      <c r="U12" s="9">
        <f>MIN(C2:C1000)</f>
        <v>66.67</v>
      </c>
      <c r="V12" s="9">
        <f>MIN(G2:G1000)</f>
        <v>66.67</v>
      </c>
      <c r="W12" s="9">
        <f>MIN(K2:K1000)</f>
        <v>64.52</v>
      </c>
      <c r="X12" s="9">
        <f>MIN(O2:O1000)</f>
        <v>66.67</v>
      </c>
      <c r="Y12" s="9">
        <f>MIN(S2:S1000)</f>
        <v>64.52</v>
      </c>
      <c r="Z12" s="7" t="s">
        <v>24</v>
      </c>
    </row>
    <row r="13"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U14" s="10">
        <f t="shared" ref="U14:Y14" si="1">U15/(U15+U16+U17)</f>
        <v>1</v>
      </c>
      <c r="V14" s="10">
        <f t="shared" si="1"/>
        <v>0</v>
      </c>
      <c r="W14" s="10">
        <f t="shared" si="1"/>
        <v>0</v>
      </c>
      <c r="X14" s="10">
        <f t="shared" si="1"/>
        <v>0</v>
      </c>
      <c r="Y14" s="10">
        <f t="shared" si="1"/>
        <v>0</v>
      </c>
      <c r="Z14" s="7" t="s">
        <v>44</v>
      </c>
    </row>
    <row r="15">
      <c r="U15" s="10">
        <f>COUNTIF(D2:D1000,"VALID")</f>
        <v>3</v>
      </c>
      <c r="V15" s="10">
        <f>COUNTIF(H2:H1000,"VALID")</f>
        <v>0</v>
      </c>
      <c r="W15" s="10">
        <f>COUNTIF(L2:L1000,"VALID")</f>
        <v>0</v>
      </c>
      <c r="X15" s="10">
        <f>COUNTIF(P2:P1000,"VALID")</f>
        <v>0</v>
      </c>
      <c r="Y15" s="10">
        <f>COUNTIF(T2:T1000,"VALID")</f>
        <v>0</v>
      </c>
      <c r="Z15" s="7" t="s">
        <v>47</v>
      </c>
    </row>
    <row r="16">
      <c r="U16" s="10">
        <f>COUNTIF(D2:D1000,"INVALID")</f>
        <v>0</v>
      </c>
      <c r="V16" s="10">
        <f>COUNTIF(H2:H1000,"INVALID")</f>
        <v>3</v>
      </c>
      <c r="W16" s="10">
        <f>COUNTIF(L2:L1000,"INVALID")</f>
        <v>3</v>
      </c>
      <c r="X16" s="10">
        <f>COUNTIF(P2:P1000,"INVALID")</f>
        <v>3</v>
      </c>
      <c r="Y16" s="10">
        <f>COUNTIF(T2:T1000,"INVALID")</f>
        <v>3</v>
      </c>
      <c r="Z16" s="7" t="s">
        <v>50</v>
      </c>
    </row>
    <row r="17">
      <c r="U17" s="10">
        <f>COUNTIF(D2:D1000,"ERROR")</f>
        <v>0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U18" s="14">
        <f t="shared" ref="U18:Y18" si="2">U17/(U17+U16+U15)</f>
        <v>0</v>
      </c>
      <c r="V18" s="14">
        <f t="shared" si="2"/>
        <v>0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7" t="s">
        <v>57</v>
      </c>
    </row>
    <row r="19"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U20" s="10">
        <f>COUNTIF(C2:C1000,100)/COUNTA(A2:A1000)</f>
        <v>0</v>
      </c>
      <c r="V20" s="10">
        <f>COUNTIF(G2:G1000,100)/COUNTA(E2:E1000)</f>
        <v>0</v>
      </c>
      <c r="W20" s="10">
        <f>COUNTIF(K2:K1000,100)/COUNTA(I2:I1000)</f>
        <v>0</v>
      </c>
      <c r="X20" s="10">
        <f>COUNTIF(O2:O1000,100)/COUNTA(M2:M1000)</f>
        <v>0</v>
      </c>
      <c r="Y20" s="10">
        <f>COUNTIF(S2:S1000,100)/COUNTA(Q2:Q1000)</f>
        <v>0</v>
      </c>
      <c r="Z20" s="7" t="s">
        <v>63</v>
      </c>
    </row>
    <row r="21">
      <c r="U21" s="10">
        <f>COUNTIF(C2:C1000,100)</f>
        <v>0</v>
      </c>
      <c r="V21" s="10">
        <f>COUNTIF(G2:G1000,100)</f>
        <v>0</v>
      </c>
      <c r="W21" s="10">
        <f>COUNTIF(K2:K1000,100)</f>
        <v>0</v>
      </c>
      <c r="X21" s="10">
        <f>COUNTIF(O2:O1000,100)</f>
        <v>0</v>
      </c>
      <c r="Y21" s="10">
        <f>COUNTIF(S2:S1000,100)</f>
        <v>0</v>
      </c>
      <c r="Z21" s="7" t="s">
        <v>65</v>
      </c>
    </row>
    <row r="22">
      <c r="U22" s="10">
        <f>COUNTA(A2:A1000)-COUNTIF(C2:C1000,100)</f>
        <v>3</v>
      </c>
      <c r="V22" s="10">
        <f>COUNTA(E2:E1000)-COUNTIF(G2:G1000,100)</f>
        <v>3</v>
      </c>
      <c r="W22" s="10">
        <f>COUNTA(I2:I1000)-COUNTIF(K2:K1000,100)</f>
        <v>3</v>
      </c>
      <c r="X22" s="10">
        <f>COUNTA(M2:M1000)-COUNTIF(O2:O1000,100)</f>
        <v>3</v>
      </c>
      <c r="Y22" s="10">
        <f>COUNTA(Q2:Q1000)-COUNTIF(S2:S1000,100)</f>
        <v>3</v>
      </c>
      <c r="Z22" s="7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4.38"/>
    <col customWidth="1" min="3" max="3" width="13.25"/>
    <col customWidth="1" min="4" max="4" width="40.88"/>
    <col customWidth="1" min="5" max="5" width="30.5"/>
    <col customWidth="1" min="6" max="6" width="14.38"/>
    <col customWidth="1" min="8" max="8" width="25.13"/>
    <col customWidth="1" min="9" max="9" width="30.38"/>
    <col customWidth="1" min="10" max="10" width="14.38"/>
    <col customWidth="1" min="12" max="12" width="25.13"/>
    <col customWidth="1" min="13" max="13" width="25.75"/>
    <col customWidth="1" min="14" max="14" width="14.38"/>
    <col customWidth="1" min="17" max="17" width="26.13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794</v>
      </c>
      <c r="B2" s="7">
        <v>0.06875</v>
      </c>
      <c r="C2" s="7">
        <v>100.0</v>
      </c>
      <c r="D2" s="7" t="s">
        <v>15</v>
      </c>
      <c r="E2" s="7" t="s">
        <v>794</v>
      </c>
      <c r="F2" s="7">
        <v>1.73629</v>
      </c>
      <c r="G2" s="7">
        <v>100.0</v>
      </c>
      <c r="H2" s="7" t="s">
        <v>15</v>
      </c>
      <c r="I2" s="7" t="s">
        <v>794</v>
      </c>
      <c r="J2" s="7">
        <v>2.34885</v>
      </c>
      <c r="K2" s="7">
        <v>100.0</v>
      </c>
      <c r="L2" s="7" t="s">
        <v>15</v>
      </c>
      <c r="M2" s="7" t="s">
        <v>794</v>
      </c>
      <c r="N2" s="7">
        <v>4.91448</v>
      </c>
      <c r="O2" s="7">
        <v>100.0</v>
      </c>
      <c r="P2" s="7" t="s">
        <v>15</v>
      </c>
      <c r="Q2" s="7" t="s">
        <v>19</v>
      </c>
      <c r="R2" s="7">
        <v>4.79611</v>
      </c>
      <c r="S2" s="7">
        <v>92.31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795</v>
      </c>
      <c r="B3" s="7">
        <v>0.0864</v>
      </c>
      <c r="C3" s="7">
        <v>78.95</v>
      </c>
      <c r="D3" s="7" t="s">
        <v>26</v>
      </c>
      <c r="E3" s="7" t="s">
        <v>796</v>
      </c>
      <c r="F3" s="7">
        <v>1.91009</v>
      </c>
      <c r="G3" s="7">
        <v>82.61</v>
      </c>
      <c r="H3" s="7" t="s">
        <v>26</v>
      </c>
      <c r="I3" s="7" t="s">
        <v>796</v>
      </c>
      <c r="J3" s="7">
        <v>3.10865</v>
      </c>
      <c r="K3" s="7">
        <v>82.61</v>
      </c>
      <c r="L3" s="7" t="s">
        <v>26</v>
      </c>
      <c r="M3" s="7" t="s">
        <v>796</v>
      </c>
      <c r="O3" s="7">
        <v>82.61</v>
      </c>
      <c r="P3" s="7" t="s">
        <v>26</v>
      </c>
      <c r="Q3" s="7" t="s">
        <v>797</v>
      </c>
      <c r="S3" s="7">
        <v>80.0</v>
      </c>
      <c r="T3" s="7" t="s">
        <v>26</v>
      </c>
      <c r="U3" s="8">
        <f>AVERAGE(B2:B1000)</f>
        <v>0.1238411765</v>
      </c>
      <c r="V3" s="8">
        <f>AVERAGE(F2:F1000)</f>
        <v>2.509020294</v>
      </c>
      <c r="W3" s="8">
        <f>AVERAGE(J2:J1000)</f>
        <v>2.904146471</v>
      </c>
      <c r="X3" s="8">
        <f>N2/COUNTA(M2:M1000)</f>
        <v>0.1445435294</v>
      </c>
      <c r="Y3" s="8">
        <f>R2/COUNTA(Q2:Q1000)</f>
        <v>0.1410620588</v>
      </c>
      <c r="Z3" s="7" t="s">
        <v>18</v>
      </c>
    </row>
    <row r="4">
      <c r="A4" s="7" t="s">
        <v>798</v>
      </c>
      <c r="B4" s="7">
        <v>0.0794</v>
      </c>
      <c r="C4" s="7">
        <v>100.0</v>
      </c>
      <c r="D4" s="7" t="s">
        <v>15</v>
      </c>
      <c r="E4" s="7" t="s">
        <v>798</v>
      </c>
      <c r="F4" s="7">
        <v>2.65971</v>
      </c>
      <c r="G4" s="7">
        <v>100.0</v>
      </c>
      <c r="H4" s="7" t="s">
        <v>15</v>
      </c>
      <c r="I4" s="7" t="s">
        <v>798</v>
      </c>
      <c r="J4" s="7">
        <v>2.32103</v>
      </c>
      <c r="K4" s="7">
        <v>100.0</v>
      </c>
      <c r="L4" s="7" t="s">
        <v>15</v>
      </c>
      <c r="M4" s="7" t="s">
        <v>798</v>
      </c>
      <c r="O4" s="7">
        <v>100.0</v>
      </c>
      <c r="P4" s="7" t="s">
        <v>15</v>
      </c>
      <c r="Q4" s="7" t="s">
        <v>799</v>
      </c>
      <c r="S4" s="7">
        <v>94.44</v>
      </c>
      <c r="T4" s="7" t="s">
        <v>15</v>
      </c>
      <c r="U4" s="8">
        <f>STDEV(B2:B1000)</f>
        <v>0.155677503</v>
      </c>
      <c r="V4" s="8">
        <f>STDEV(F2:F1000)</f>
        <v>0.9447183975</v>
      </c>
      <c r="W4" s="8">
        <f>STDEV(J2:J1000)</f>
        <v>2.595988163</v>
      </c>
      <c r="X4" s="8"/>
      <c r="Y4" s="8"/>
      <c r="Z4" s="7" t="s">
        <v>20</v>
      </c>
    </row>
    <row r="5">
      <c r="A5" s="7" t="s">
        <v>624</v>
      </c>
      <c r="B5" s="7">
        <v>0.13914</v>
      </c>
      <c r="C5" s="7">
        <v>0.0</v>
      </c>
      <c r="D5" s="7" t="s">
        <v>99</v>
      </c>
      <c r="E5" s="7" t="s">
        <v>800</v>
      </c>
      <c r="F5" s="7">
        <v>3.0013</v>
      </c>
      <c r="G5" s="7">
        <v>91.3</v>
      </c>
      <c r="H5" s="7" t="s">
        <v>26</v>
      </c>
      <c r="I5" s="7" t="s">
        <v>801</v>
      </c>
      <c r="J5" s="7">
        <v>2.97284</v>
      </c>
      <c r="K5" s="7">
        <v>100.0</v>
      </c>
      <c r="L5" s="7" t="s">
        <v>15</v>
      </c>
      <c r="M5" s="7" t="s">
        <v>802</v>
      </c>
      <c r="O5" s="7">
        <v>79.07</v>
      </c>
      <c r="P5" s="7" t="s">
        <v>26</v>
      </c>
      <c r="Q5" s="7" t="s">
        <v>803</v>
      </c>
      <c r="S5" s="7">
        <v>86.36</v>
      </c>
      <c r="T5" s="7" t="s">
        <v>26</v>
      </c>
      <c r="U5" s="8">
        <f>MAX(B2:B1000)</f>
        <v>0.92256</v>
      </c>
      <c r="V5" s="8">
        <f>MAX(F2:F1000)</f>
        <v>6.49214</v>
      </c>
      <c r="W5" s="8">
        <f>MAX(J2:J1000)</f>
        <v>16.7672</v>
      </c>
      <c r="X5" s="8"/>
      <c r="Y5" s="8"/>
      <c r="Z5" s="7" t="s">
        <v>22</v>
      </c>
    </row>
    <row r="6">
      <c r="A6" s="7" t="s">
        <v>804</v>
      </c>
      <c r="B6" s="7">
        <v>0.16694</v>
      </c>
      <c r="C6" s="7">
        <v>54.55</v>
      </c>
      <c r="D6" s="7" t="s">
        <v>26</v>
      </c>
      <c r="E6" s="7" t="s">
        <v>805</v>
      </c>
      <c r="F6" s="7">
        <v>2.59796</v>
      </c>
      <c r="G6" s="7">
        <v>54.55</v>
      </c>
      <c r="H6" s="7" t="s">
        <v>26</v>
      </c>
      <c r="I6" s="7" t="s">
        <v>805</v>
      </c>
      <c r="J6" s="7">
        <v>2.17763</v>
      </c>
      <c r="K6" s="7">
        <v>54.55</v>
      </c>
      <c r="L6" s="7" t="s">
        <v>26</v>
      </c>
      <c r="M6" s="7" t="s">
        <v>806</v>
      </c>
      <c r="O6" s="7">
        <v>60.0</v>
      </c>
      <c r="P6" s="7" t="s">
        <v>26</v>
      </c>
      <c r="Q6" s="7" t="s">
        <v>807</v>
      </c>
      <c r="S6" s="7">
        <v>53.33</v>
      </c>
      <c r="T6" s="7" t="s">
        <v>26</v>
      </c>
      <c r="U6" s="8">
        <f>MIN(B2:B1000)</f>
        <v>0.05225</v>
      </c>
      <c r="V6" s="8">
        <f>MIN(F2:F1000)</f>
        <v>1.73629</v>
      </c>
      <c r="W6" s="8">
        <f>MIN(J2:J1000)</f>
        <v>1.68604</v>
      </c>
      <c r="X6" s="8"/>
      <c r="Y6" s="8"/>
      <c r="Z6" s="7" t="s">
        <v>24</v>
      </c>
    </row>
    <row r="7">
      <c r="A7" s="7" t="s">
        <v>808</v>
      </c>
      <c r="B7" s="7">
        <v>0.21747</v>
      </c>
      <c r="C7" s="7">
        <v>84.85</v>
      </c>
      <c r="D7" s="7" t="s">
        <v>15</v>
      </c>
      <c r="E7" s="7" t="s">
        <v>809</v>
      </c>
      <c r="F7" s="7">
        <v>1.76619</v>
      </c>
      <c r="G7" s="7">
        <v>96.55</v>
      </c>
      <c r="H7" s="7" t="s">
        <v>26</v>
      </c>
      <c r="I7" s="7" t="s">
        <v>808</v>
      </c>
      <c r="J7" s="7">
        <v>3.01183</v>
      </c>
      <c r="K7" s="7">
        <v>84.85</v>
      </c>
      <c r="L7" s="7" t="s">
        <v>15</v>
      </c>
      <c r="M7" s="7" t="s">
        <v>810</v>
      </c>
      <c r="O7" s="7">
        <v>96.55</v>
      </c>
      <c r="P7" s="7" t="s">
        <v>26</v>
      </c>
      <c r="Q7" s="7" t="s">
        <v>811</v>
      </c>
      <c r="S7" s="7">
        <v>73.33</v>
      </c>
      <c r="T7" s="7" t="s">
        <v>26</v>
      </c>
      <c r="U7" s="8">
        <f>SUM(B2:B1000)</f>
        <v>4.2106</v>
      </c>
      <c r="V7" s="8">
        <f>SUM(F2:F1000)</f>
        <v>85.30669</v>
      </c>
      <c r="W7" s="8">
        <f>SUM(J2:J1000)</f>
        <v>98.74098</v>
      </c>
      <c r="X7" s="8">
        <f>N2</f>
        <v>4.91448</v>
      </c>
      <c r="Y7" s="8">
        <f>R2</f>
        <v>4.79611</v>
      </c>
      <c r="Z7" s="7" t="s">
        <v>28</v>
      </c>
    </row>
    <row r="8">
      <c r="A8" s="7" t="s">
        <v>812</v>
      </c>
      <c r="B8" s="7">
        <v>0.38895</v>
      </c>
      <c r="C8" s="7">
        <v>73.68</v>
      </c>
      <c r="D8" s="7" t="s">
        <v>15</v>
      </c>
      <c r="E8" s="7" t="s">
        <v>813</v>
      </c>
      <c r="F8" s="7">
        <v>2.01478</v>
      </c>
      <c r="G8" s="7">
        <v>96.55</v>
      </c>
      <c r="H8" s="7" t="s">
        <v>26</v>
      </c>
      <c r="I8" s="7" t="s">
        <v>814</v>
      </c>
      <c r="J8" s="7">
        <v>5.34391</v>
      </c>
      <c r="K8" s="7">
        <v>100.0</v>
      </c>
      <c r="L8" s="7" t="s">
        <v>15</v>
      </c>
      <c r="M8" s="7" t="s">
        <v>815</v>
      </c>
      <c r="O8" s="7">
        <v>96.55</v>
      </c>
      <c r="P8" s="7" t="s">
        <v>26</v>
      </c>
      <c r="Q8" s="7" t="s">
        <v>816</v>
      </c>
      <c r="S8" s="7">
        <v>88.89</v>
      </c>
      <c r="T8" s="7" t="s">
        <v>26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817</v>
      </c>
      <c r="B9" s="7">
        <v>0.12729</v>
      </c>
      <c r="C9" s="7">
        <v>93.33</v>
      </c>
      <c r="D9" s="7" t="s">
        <v>26</v>
      </c>
      <c r="E9" s="7" t="s">
        <v>818</v>
      </c>
      <c r="F9" s="7">
        <v>2.59554</v>
      </c>
      <c r="G9" s="7">
        <v>100.0</v>
      </c>
      <c r="H9" s="7" t="s">
        <v>15</v>
      </c>
      <c r="I9" s="7" t="s">
        <v>819</v>
      </c>
      <c r="J9" s="7">
        <v>3.13237</v>
      </c>
      <c r="K9" s="7">
        <v>90.91</v>
      </c>
      <c r="L9" s="7" t="s">
        <v>15</v>
      </c>
      <c r="M9" s="7" t="s">
        <v>820</v>
      </c>
      <c r="O9" s="7">
        <v>80.95</v>
      </c>
      <c r="P9" s="7" t="s">
        <v>26</v>
      </c>
      <c r="Q9" s="7" t="s">
        <v>821</v>
      </c>
      <c r="S9" s="7">
        <v>85.71</v>
      </c>
      <c r="T9" s="7" t="s">
        <v>26</v>
      </c>
      <c r="U9" s="9">
        <f>AVERAGE(C2:C1000)</f>
        <v>71.09794118</v>
      </c>
      <c r="V9" s="9">
        <f>AVERAGE(G2:G1000)</f>
        <v>90.40205882</v>
      </c>
      <c r="W9" s="9">
        <f>AVERAGE(K2:K1000)</f>
        <v>90.50264706</v>
      </c>
      <c r="X9" s="9">
        <f>AVERAGE(O2:O1000)</f>
        <v>88.77029412</v>
      </c>
      <c r="Y9" s="9">
        <f>AVERAGE(S2:S1000)</f>
        <v>82.26294118</v>
      </c>
      <c r="Z9" s="7" t="s">
        <v>18</v>
      </c>
    </row>
    <row r="10">
      <c r="A10" s="7" t="s">
        <v>822</v>
      </c>
      <c r="B10" s="7">
        <v>0.92256</v>
      </c>
      <c r="C10" s="7">
        <v>55.32</v>
      </c>
      <c r="D10" s="7" t="s">
        <v>26</v>
      </c>
      <c r="E10" s="7" t="s">
        <v>823</v>
      </c>
      <c r="F10" s="7">
        <v>1.84316</v>
      </c>
      <c r="G10" s="7">
        <v>85.71</v>
      </c>
      <c r="H10" s="7" t="s">
        <v>26</v>
      </c>
      <c r="I10" s="7" t="s">
        <v>824</v>
      </c>
      <c r="J10" s="7">
        <v>3.88984</v>
      </c>
      <c r="K10" s="7">
        <v>85.71</v>
      </c>
      <c r="L10" s="7" t="s">
        <v>26</v>
      </c>
      <c r="M10" s="7" t="s">
        <v>823</v>
      </c>
      <c r="O10" s="7">
        <v>85.71</v>
      </c>
      <c r="P10" s="7" t="s">
        <v>26</v>
      </c>
      <c r="Q10" s="7" t="s">
        <v>825</v>
      </c>
      <c r="S10" s="7">
        <v>80.0</v>
      </c>
      <c r="T10" s="7" t="s">
        <v>26</v>
      </c>
      <c r="U10" s="9">
        <f>STDEV(C2:C1000)</f>
        <v>29.9315855</v>
      </c>
      <c r="V10" s="9">
        <f>STDEV(G2:G1000)</f>
        <v>13.75382542</v>
      </c>
      <c r="W10" s="9">
        <f>STDEV(K2:K1000)</f>
        <v>13.38367239</v>
      </c>
      <c r="X10" s="9">
        <f>STDEV(O2:O1000)</f>
        <v>11.50253266</v>
      </c>
      <c r="Y10" s="9">
        <f>STDEV(S2:S1000)</f>
        <v>12.1685378</v>
      </c>
      <c r="Z10" s="7" t="s">
        <v>20</v>
      </c>
    </row>
    <row r="11">
      <c r="A11" s="7" t="s">
        <v>826</v>
      </c>
      <c r="B11" s="7">
        <v>0.06512</v>
      </c>
      <c r="C11" s="7">
        <v>55.32</v>
      </c>
      <c r="D11" s="7" t="s">
        <v>26</v>
      </c>
      <c r="E11" s="7" t="s">
        <v>827</v>
      </c>
      <c r="F11" s="7">
        <v>3.40632</v>
      </c>
      <c r="G11" s="7">
        <v>85.71</v>
      </c>
      <c r="H11" s="7" t="s">
        <v>26</v>
      </c>
      <c r="I11" s="7" t="s">
        <v>828</v>
      </c>
      <c r="J11" s="7">
        <v>4.49918</v>
      </c>
      <c r="K11" s="7">
        <v>88.37</v>
      </c>
      <c r="L11" s="7" t="s">
        <v>26</v>
      </c>
      <c r="M11" s="7" t="s">
        <v>827</v>
      </c>
      <c r="O11" s="7">
        <v>85.71</v>
      </c>
      <c r="P11" s="7" t="s">
        <v>26</v>
      </c>
      <c r="Q11" s="7" t="s">
        <v>829</v>
      </c>
      <c r="S11" s="7">
        <v>80.0</v>
      </c>
      <c r="T11" s="7" t="s">
        <v>26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94.44</v>
      </c>
      <c r="Z11" s="7" t="s">
        <v>22</v>
      </c>
    </row>
    <row r="12">
      <c r="A12" s="7" t="s">
        <v>830</v>
      </c>
      <c r="B12" s="7">
        <v>0.06765</v>
      </c>
      <c r="C12" s="7">
        <v>100.0</v>
      </c>
      <c r="D12" s="7" t="s">
        <v>15</v>
      </c>
      <c r="E12" s="7" t="s">
        <v>830</v>
      </c>
      <c r="F12" s="7">
        <v>2.17798</v>
      </c>
      <c r="G12" s="7">
        <v>100.0</v>
      </c>
      <c r="H12" s="7" t="s">
        <v>15</v>
      </c>
      <c r="I12" s="7" t="s">
        <v>830</v>
      </c>
      <c r="J12" s="7">
        <v>2.88546</v>
      </c>
      <c r="K12" s="7">
        <v>100.0</v>
      </c>
      <c r="L12" s="7" t="s">
        <v>15</v>
      </c>
      <c r="M12" s="7" t="s">
        <v>831</v>
      </c>
      <c r="O12" s="7">
        <v>66.67</v>
      </c>
      <c r="P12" s="7" t="s">
        <v>26</v>
      </c>
      <c r="Q12" s="7" t="s">
        <v>832</v>
      </c>
      <c r="S12" s="7">
        <v>90.91</v>
      </c>
      <c r="T12" s="7" t="s">
        <v>26</v>
      </c>
      <c r="U12" s="9">
        <f>MIN(C2:C1000)</f>
        <v>0</v>
      </c>
      <c r="V12" s="9">
        <f>MIN(G2:G1000)</f>
        <v>54.55</v>
      </c>
      <c r="W12" s="9">
        <f>MIN(K2:K1000)</f>
        <v>54.55</v>
      </c>
      <c r="X12" s="9">
        <f>MIN(O2:O1000)</f>
        <v>60</v>
      </c>
      <c r="Y12" s="9">
        <f>MIN(S2:S1000)</f>
        <v>50</v>
      </c>
      <c r="Z12" s="7" t="s">
        <v>24</v>
      </c>
    </row>
    <row r="13">
      <c r="A13" s="7" t="s">
        <v>833</v>
      </c>
      <c r="B13" s="7">
        <v>0.05225</v>
      </c>
      <c r="C13" s="7">
        <v>73.68</v>
      </c>
      <c r="D13" s="7" t="s">
        <v>15</v>
      </c>
      <c r="E13" s="7" t="s">
        <v>834</v>
      </c>
      <c r="F13" s="7">
        <v>1.812</v>
      </c>
      <c r="G13" s="7">
        <v>100.0</v>
      </c>
      <c r="H13" s="7" t="s">
        <v>15</v>
      </c>
      <c r="I13" s="7" t="s">
        <v>834</v>
      </c>
      <c r="J13" s="7">
        <v>1.96401</v>
      </c>
      <c r="K13" s="7">
        <v>100.0</v>
      </c>
      <c r="L13" s="7" t="s">
        <v>15</v>
      </c>
      <c r="M13" s="7" t="s">
        <v>835</v>
      </c>
      <c r="O13" s="7">
        <v>96.55</v>
      </c>
      <c r="P13" s="7" t="s">
        <v>26</v>
      </c>
      <c r="Q13" s="7" t="s">
        <v>836</v>
      </c>
      <c r="S13" s="7">
        <v>88.89</v>
      </c>
      <c r="T13" s="7" t="s">
        <v>26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837</v>
      </c>
      <c r="B14" s="7">
        <v>0.06177</v>
      </c>
      <c r="C14" s="7">
        <v>100.0</v>
      </c>
      <c r="D14" s="7" t="s">
        <v>15</v>
      </c>
      <c r="E14" s="7" t="s">
        <v>838</v>
      </c>
      <c r="F14" s="7">
        <v>1.88131</v>
      </c>
      <c r="G14" s="7">
        <v>100.0</v>
      </c>
      <c r="H14" s="7" t="s">
        <v>15</v>
      </c>
      <c r="I14" s="7" t="s">
        <v>837</v>
      </c>
      <c r="J14" s="7">
        <v>1.89925</v>
      </c>
      <c r="K14" s="7">
        <v>100.0</v>
      </c>
      <c r="L14" s="7" t="s">
        <v>15</v>
      </c>
      <c r="M14" s="7" t="s">
        <v>839</v>
      </c>
      <c r="O14" s="7">
        <v>97.44</v>
      </c>
      <c r="P14" s="7" t="s">
        <v>26</v>
      </c>
      <c r="Q14" s="7" t="s">
        <v>840</v>
      </c>
      <c r="S14" s="7">
        <v>91.89</v>
      </c>
      <c r="T14" s="7" t="s">
        <v>26</v>
      </c>
      <c r="U14" s="8">
        <f t="shared" ref="U14:Y14" si="1">U15/(U15+U16+U17)</f>
        <v>0.4705882353</v>
      </c>
      <c r="V14" s="8">
        <f t="shared" si="1"/>
        <v>0.3823529412</v>
      </c>
      <c r="W14" s="8">
        <f t="shared" si="1"/>
        <v>0.6470588235</v>
      </c>
      <c r="X14" s="8">
        <f t="shared" si="1"/>
        <v>0.1470588235</v>
      </c>
      <c r="Y14" s="8">
        <f t="shared" si="1"/>
        <v>0.1470588235</v>
      </c>
      <c r="Z14" s="7" t="s">
        <v>44</v>
      </c>
    </row>
    <row r="15">
      <c r="A15" s="7" t="s">
        <v>841</v>
      </c>
      <c r="B15" s="7">
        <v>0.06676</v>
      </c>
      <c r="C15" s="7">
        <v>100.0</v>
      </c>
      <c r="D15" s="7" t="s">
        <v>15</v>
      </c>
      <c r="E15" s="7" t="s">
        <v>842</v>
      </c>
      <c r="F15" s="7">
        <v>2.03208</v>
      </c>
      <c r="G15" s="7">
        <v>97.44</v>
      </c>
      <c r="H15" s="7" t="s">
        <v>26</v>
      </c>
      <c r="I15" s="7" t="s">
        <v>842</v>
      </c>
      <c r="J15" s="7">
        <v>3.40396</v>
      </c>
      <c r="K15" s="7">
        <v>97.44</v>
      </c>
      <c r="L15" s="7" t="s">
        <v>26</v>
      </c>
      <c r="M15" s="7" t="s">
        <v>842</v>
      </c>
      <c r="O15" s="7">
        <v>97.44</v>
      </c>
      <c r="P15" s="7" t="s">
        <v>26</v>
      </c>
      <c r="Q15" s="7" t="s">
        <v>843</v>
      </c>
      <c r="S15" s="7">
        <v>91.89</v>
      </c>
      <c r="T15" s="7" t="s">
        <v>26</v>
      </c>
      <c r="U15" s="10">
        <f>COUNTIF(D2:D1000,"VALID")</f>
        <v>16</v>
      </c>
      <c r="V15" s="10">
        <f>COUNTIF(H2:H1000,"VALID")</f>
        <v>13</v>
      </c>
      <c r="W15" s="10">
        <f>COUNTIF(L2:L1000,"VALID")</f>
        <v>22</v>
      </c>
      <c r="X15" s="10">
        <f>COUNTIF(P2:P1000,"VALID")</f>
        <v>5</v>
      </c>
      <c r="Y15" s="10">
        <f>COUNTIF(T2:T1000,"VALID")</f>
        <v>5</v>
      </c>
      <c r="Z15" s="7" t="s">
        <v>47</v>
      </c>
    </row>
    <row r="16">
      <c r="A16" s="7" t="s">
        <v>844</v>
      </c>
      <c r="B16" s="7">
        <v>0.06486</v>
      </c>
      <c r="C16" s="7">
        <v>100.0</v>
      </c>
      <c r="D16" s="7" t="s">
        <v>15</v>
      </c>
      <c r="E16" s="7" t="s">
        <v>845</v>
      </c>
      <c r="F16" s="7">
        <v>2.35627</v>
      </c>
      <c r="G16" s="7">
        <v>97.56</v>
      </c>
      <c r="H16" s="7" t="s">
        <v>26</v>
      </c>
      <c r="I16" s="7" t="s">
        <v>846</v>
      </c>
      <c r="J16" s="7">
        <v>1.72673</v>
      </c>
      <c r="K16" s="7">
        <v>100.0</v>
      </c>
      <c r="L16" s="7" t="s">
        <v>15</v>
      </c>
      <c r="M16" s="7" t="s">
        <v>845</v>
      </c>
      <c r="O16" s="7">
        <v>97.56</v>
      </c>
      <c r="P16" s="7" t="s">
        <v>26</v>
      </c>
      <c r="Q16" s="7" t="s">
        <v>847</v>
      </c>
      <c r="S16" s="7">
        <v>92.31</v>
      </c>
      <c r="T16" s="7" t="s">
        <v>26</v>
      </c>
      <c r="U16" s="10">
        <f>COUNTIF(D2:D1000,"INVALID")</f>
        <v>13</v>
      </c>
      <c r="V16" s="10">
        <f>COUNTIF(H2:H1000,"INVALID")</f>
        <v>21</v>
      </c>
      <c r="W16" s="10">
        <f>COUNTIF(L2:L1000,"INVALID")</f>
        <v>12</v>
      </c>
      <c r="X16" s="10">
        <f>COUNTIF(P2:P1000,"INVALID")</f>
        <v>29</v>
      </c>
      <c r="Y16" s="10">
        <f>COUNTIF(T2:T1000,"INVALID")</f>
        <v>29</v>
      </c>
      <c r="Z16" s="7" t="s">
        <v>50</v>
      </c>
    </row>
    <row r="17">
      <c r="A17" s="7" t="s">
        <v>848</v>
      </c>
      <c r="B17" s="7">
        <v>0.06362</v>
      </c>
      <c r="C17" s="7">
        <v>100.0</v>
      </c>
      <c r="D17" s="7" t="s">
        <v>15</v>
      </c>
      <c r="E17" s="7" t="s">
        <v>849</v>
      </c>
      <c r="F17" s="7">
        <v>2.45984</v>
      </c>
      <c r="G17" s="7">
        <v>97.44</v>
      </c>
      <c r="H17" s="7" t="s">
        <v>26</v>
      </c>
      <c r="I17" s="7" t="s">
        <v>849</v>
      </c>
      <c r="J17" s="7">
        <v>1.94856</v>
      </c>
      <c r="K17" s="7">
        <v>97.44</v>
      </c>
      <c r="L17" s="7" t="s">
        <v>26</v>
      </c>
      <c r="M17" s="7" t="s">
        <v>849</v>
      </c>
      <c r="O17" s="7">
        <v>97.44</v>
      </c>
      <c r="P17" s="7" t="s">
        <v>26</v>
      </c>
      <c r="Q17" s="7" t="s">
        <v>850</v>
      </c>
      <c r="S17" s="7">
        <v>91.89</v>
      </c>
      <c r="T17" s="7" t="s">
        <v>26</v>
      </c>
      <c r="U17" s="10">
        <f>COUNTIF(D2:D1000,"ERROR")</f>
        <v>5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851</v>
      </c>
      <c r="B18" s="7">
        <v>0.16008</v>
      </c>
      <c r="C18" s="7">
        <v>46.51</v>
      </c>
      <c r="D18" s="7" t="s">
        <v>99</v>
      </c>
      <c r="E18" s="7" t="s">
        <v>852</v>
      </c>
      <c r="F18" s="7">
        <v>2.07598</v>
      </c>
      <c r="G18" s="7">
        <v>100.0</v>
      </c>
      <c r="H18" s="7" t="s">
        <v>15</v>
      </c>
      <c r="I18" s="7" t="s">
        <v>853</v>
      </c>
      <c r="J18" s="7">
        <v>1.81304</v>
      </c>
      <c r="K18" s="7">
        <v>100.0</v>
      </c>
      <c r="L18" s="7" t="s">
        <v>15</v>
      </c>
      <c r="M18" s="7" t="s">
        <v>852</v>
      </c>
      <c r="O18" s="7">
        <v>100.0</v>
      </c>
      <c r="P18" s="7" t="s">
        <v>15</v>
      </c>
      <c r="Q18" s="7" t="s">
        <v>105</v>
      </c>
      <c r="S18" s="7">
        <v>91.67</v>
      </c>
      <c r="T18" s="7" t="s">
        <v>15</v>
      </c>
      <c r="U18" s="14">
        <f t="shared" ref="U18:Y18" si="2">U17/(U17+U16+U15)</f>
        <v>0.1470588235</v>
      </c>
      <c r="V18" s="14">
        <f t="shared" si="2"/>
        <v>0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7" t="s">
        <v>57</v>
      </c>
    </row>
    <row r="19">
      <c r="A19" s="7" t="s">
        <v>854</v>
      </c>
      <c r="B19" s="7">
        <v>0.05427</v>
      </c>
      <c r="C19" s="7">
        <v>37.04</v>
      </c>
      <c r="D19" s="7" t="s">
        <v>26</v>
      </c>
      <c r="E19" s="7" t="s">
        <v>855</v>
      </c>
      <c r="F19" s="7">
        <v>2.24365</v>
      </c>
      <c r="G19" s="7">
        <v>66.67</v>
      </c>
      <c r="H19" s="7" t="s">
        <v>26</v>
      </c>
      <c r="I19" s="7" t="s">
        <v>856</v>
      </c>
      <c r="J19" s="7">
        <v>1.68604</v>
      </c>
      <c r="K19" s="7">
        <v>58.06</v>
      </c>
      <c r="L19" s="7" t="s">
        <v>26</v>
      </c>
      <c r="M19" s="7" t="s">
        <v>855</v>
      </c>
      <c r="O19" s="7">
        <v>66.67</v>
      </c>
      <c r="P19" s="7" t="s">
        <v>26</v>
      </c>
      <c r="Q19" s="7" t="s">
        <v>857</v>
      </c>
      <c r="S19" s="7">
        <v>58.06</v>
      </c>
      <c r="T19" s="7" t="s">
        <v>26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851</v>
      </c>
      <c r="B20" s="7">
        <v>0.06826</v>
      </c>
      <c r="C20" s="7">
        <v>40.91</v>
      </c>
      <c r="D20" s="7" t="s">
        <v>99</v>
      </c>
      <c r="E20" s="7" t="s">
        <v>852</v>
      </c>
      <c r="F20" s="7">
        <v>1.77401</v>
      </c>
      <c r="G20" s="7">
        <v>81.48</v>
      </c>
      <c r="H20" s="7" t="s">
        <v>26</v>
      </c>
      <c r="I20" s="7" t="s">
        <v>853</v>
      </c>
      <c r="J20" s="7">
        <v>2.35327</v>
      </c>
      <c r="K20" s="7">
        <v>81.48</v>
      </c>
      <c r="L20" s="7" t="s">
        <v>26</v>
      </c>
      <c r="M20" s="7" t="s">
        <v>852</v>
      </c>
      <c r="O20" s="7">
        <v>81.48</v>
      </c>
      <c r="P20" s="7" t="s">
        <v>26</v>
      </c>
      <c r="Q20" s="7" t="s">
        <v>105</v>
      </c>
      <c r="S20" s="7">
        <v>72.0</v>
      </c>
      <c r="T20" s="7" t="s">
        <v>26</v>
      </c>
      <c r="U20" s="8">
        <f>COUNTIF(C2:C1000,100)/COUNTA(A2:A1000)</f>
        <v>0.2941176471</v>
      </c>
      <c r="V20" s="8">
        <f>COUNTIF(G2:G1000,100)/COUNTA(E2:E1000)</f>
        <v>0.3823529412</v>
      </c>
      <c r="W20" s="8">
        <f>COUNTIF(K2:K1000,100)/COUNTA(I2:I1000)</f>
        <v>0.5</v>
      </c>
      <c r="X20" s="8">
        <f>COUNTIF(O2:O1000,100)/COUNTA(M2:M1000)</f>
        <v>0.1470588235</v>
      </c>
      <c r="Y20" s="16">
        <f>COUNTIF(S2:S1000,100)/COUNTA(Q2:Q1000)</f>
        <v>0</v>
      </c>
      <c r="Z20" s="7" t="s">
        <v>63</v>
      </c>
    </row>
    <row r="21">
      <c r="A21" s="7" t="s">
        <v>858</v>
      </c>
      <c r="B21" s="7">
        <v>0.06458</v>
      </c>
      <c r="C21" s="7">
        <v>100.0</v>
      </c>
      <c r="D21" s="7" t="s">
        <v>15</v>
      </c>
      <c r="E21" s="7" t="s">
        <v>859</v>
      </c>
      <c r="F21" s="7">
        <v>6.49214</v>
      </c>
      <c r="G21" s="7">
        <v>97.14</v>
      </c>
      <c r="H21" s="7" t="s">
        <v>26</v>
      </c>
      <c r="I21" s="7" t="s">
        <v>859</v>
      </c>
      <c r="J21" s="7">
        <v>1.9145</v>
      </c>
      <c r="K21" s="7">
        <v>97.14</v>
      </c>
      <c r="L21" s="7" t="s">
        <v>26</v>
      </c>
      <c r="M21" s="7" t="s">
        <v>860</v>
      </c>
      <c r="O21" s="7">
        <v>81.25</v>
      </c>
      <c r="P21" s="7" t="s">
        <v>26</v>
      </c>
      <c r="Q21" s="7" t="s">
        <v>861</v>
      </c>
      <c r="S21" s="7">
        <v>90.91</v>
      </c>
      <c r="T21" s="7" t="s">
        <v>26</v>
      </c>
      <c r="U21" s="10">
        <f>COUNTIF(C2:C1000,100)</f>
        <v>10</v>
      </c>
      <c r="V21" s="10">
        <f>COUNTIF(G2:G1000,100)</f>
        <v>13</v>
      </c>
      <c r="W21" s="10">
        <f>COUNTIF(K2:K1000,100)</f>
        <v>17</v>
      </c>
      <c r="X21" s="10">
        <f>COUNTIF(O2:O1000,100)</f>
        <v>5</v>
      </c>
      <c r="Y21" s="10">
        <f>COUNTIF(S2:S1000,100)</f>
        <v>0</v>
      </c>
      <c r="Z21" s="7" t="s">
        <v>65</v>
      </c>
    </row>
    <row r="22">
      <c r="A22" s="7" t="s">
        <v>624</v>
      </c>
      <c r="B22" s="7">
        <v>0.09152</v>
      </c>
      <c r="C22" s="7">
        <v>0.0</v>
      </c>
      <c r="D22" s="7" t="s">
        <v>99</v>
      </c>
      <c r="E22" s="7" t="s">
        <v>862</v>
      </c>
      <c r="F22" s="7">
        <v>2.20121</v>
      </c>
      <c r="G22" s="7">
        <v>97.14</v>
      </c>
      <c r="H22" s="7" t="s">
        <v>26</v>
      </c>
      <c r="I22" s="7" t="s">
        <v>863</v>
      </c>
      <c r="J22" s="7">
        <v>1.92782</v>
      </c>
      <c r="K22" s="7">
        <v>100.0</v>
      </c>
      <c r="L22" s="7" t="s">
        <v>15</v>
      </c>
      <c r="M22" s="7" t="s">
        <v>864</v>
      </c>
      <c r="O22" s="7">
        <v>84.85</v>
      </c>
      <c r="P22" s="7" t="s">
        <v>26</v>
      </c>
      <c r="Q22" s="7" t="s">
        <v>865</v>
      </c>
      <c r="S22" s="7">
        <v>90.91</v>
      </c>
      <c r="T22" s="7" t="s">
        <v>26</v>
      </c>
      <c r="U22" s="10">
        <f>COUNTA(A2:A1000)-COUNTIF(C2:C1000,100)</f>
        <v>24</v>
      </c>
      <c r="V22" s="10">
        <f>COUNTA(E2:E1000)-COUNTIF(G2:G1000,100)</f>
        <v>21</v>
      </c>
      <c r="W22" s="10">
        <f>COUNTA(I2:I1000)-COUNTIF(K2:K1000,100)</f>
        <v>17</v>
      </c>
      <c r="X22" s="10">
        <f>COUNTA(M2:M1000)-COUNTIF(O2:O1000,100)</f>
        <v>29</v>
      </c>
      <c r="Y22" s="10">
        <f>COUNTA(Q2:Q1000)-COUNTIF(S2:S1000,100)</f>
        <v>34</v>
      </c>
      <c r="Z22" s="7" t="s">
        <v>69</v>
      </c>
    </row>
    <row r="23">
      <c r="A23" s="7" t="s">
        <v>866</v>
      </c>
      <c r="B23" s="7">
        <v>0.06157</v>
      </c>
      <c r="C23" s="7">
        <v>79.07</v>
      </c>
      <c r="D23" s="7" t="s">
        <v>15</v>
      </c>
      <c r="E23" s="7" t="s">
        <v>867</v>
      </c>
      <c r="F23" s="7">
        <v>1.91378</v>
      </c>
      <c r="G23" s="7">
        <v>83.33</v>
      </c>
      <c r="H23" s="7" t="s">
        <v>26</v>
      </c>
      <c r="I23" s="7" t="s">
        <v>868</v>
      </c>
      <c r="J23" s="7">
        <v>2.82308</v>
      </c>
      <c r="K23" s="7">
        <v>86.49</v>
      </c>
      <c r="L23" s="7" t="s">
        <v>15</v>
      </c>
      <c r="M23" s="7" t="s">
        <v>869</v>
      </c>
      <c r="O23" s="7">
        <v>83.33</v>
      </c>
      <c r="P23" s="7" t="s">
        <v>26</v>
      </c>
      <c r="Q23" s="7" t="s">
        <v>870</v>
      </c>
      <c r="S23" s="7">
        <v>76.47</v>
      </c>
      <c r="T23" s="7" t="s">
        <v>26</v>
      </c>
    </row>
    <row r="24">
      <c r="A24" s="7" t="s">
        <v>871</v>
      </c>
      <c r="B24" s="7">
        <v>0.10518</v>
      </c>
      <c r="C24" s="7">
        <v>72.22</v>
      </c>
      <c r="D24" s="7" t="s">
        <v>26</v>
      </c>
      <c r="E24" s="7" t="s">
        <v>872</v>
      </c>
      <c r="F24" s="7">
        <v>2.28489</v>
      </c>
      <c r="G24" s="7">
        <v>97.14</v>
      </c>
      <c r="H24" s="7" t="s">
        <v>26</v>
      </c>
      <c r="I24" s="7" t="s">
        <v>873</v>
      </c>
      <c r="J24" s="7">
        <v>1.7326</v>
      </c>
      <c r="K24" s="7">
        <v>100.0</v>
      </c>
      <c r="L24" s="7" t="s">
        <v>15</v>
      </c>
      <c r="M24" s="7" t="s">
        <v>874</v>
      </c>
      <c r="O24" s="7">
        <v>84.85</v>
      </c>
      <c r="P24" s="7" t="s">
        <v>26</v>
      </c>
      <c r="Q24" s="7" t="s">
        <v>875</v>
      </c>
      <c r="S24" s="7">
        <v>90.91</v>
      </c>
      <c r="T24" s="7" t="s">
        <v>26</v>
      </c>
    </row>
    <row r="25">
      <c r="A25" s="7" t="s">
        <v>876</v>
      </c>
      <c r="B25" s="7">
        <v>0.12099</v>
      </c>
      <c r="C25" s="7">
        <v>100.0</v>
      </c>
      <c r="D25" s="7" t="s">
        <v>15</v>
      </c>
      <c r="E25" s="7" t="s">
        <v>876</v>
      </c>
      <c r="F25" s="7">
        <v>2.61854</v>
      </c>
      <c r="G25" s="7">
        <v>100.0</v>
      </c>
      <c r="H25" s="7" t="s">
        <v>15</v>
      </c>
      <c r="I25" s="7" t="s">
        <v>876</v>
      </c>
      <c r="J25" s="7">
        <v>2.09664</v>
      </c>
      <c r="K25" s="7">
        <v>100.0</v>
      </c>
      <c r="L25" s="7" t="s">
        <v>15</v>
      </c>
      <c r="M25" s="7" t="s">
        <v>876</v>
      </c>
      <c r="O25" s="7">
        <v>100.0</v>
      </c>
      <c r="P25" s="7" t="s">
        <v>15</v>
      </c>
      <c r="Q25" s="7" t="s">
        <v>119</v>
      </c>
      <c r="S25" s="7">
        <v>90.0</v>
      </c>
      <c r="T25" s="7" t="s">
        <v>15</v>
      </c>
    </row>
    <row r="26">
      <c r="A26" s="7" t="s">
        <v>877</v>
      </c>
      <c r="B26" s="7">
        <v>0.07168</v>
      </c>
      <c r="C26" s="7">
        <v>77.78</v>
      </c>
      <c r="D26" s="7" t="s">
        <v>26</v>
      </c>
      <c r="E26" s="7" t="s">
        <v>878</v>
      </c>
      <c r="F26" s="7">
        <v>2.5593</v>
      </c>
      <c r="G26" s="7">
        <v>75.47</v>
      </c>
      <c r="H26" s="7" t="s">
        <v>26</v>
      </c>
      <c r="I26" s="7" t="s">
        <v>877</v>
      </c>
      <c r="J26" s="7">
        <v>2.00413</v>
      </c>
      <c r="K26" s="7">
        <v>77.78</v>
      </c>
      <c r="L26" s="7" t="s">
        <v>26</v>
      </c>
      <c r="M26" s="7" t="s">
        <v>878</v>
      </c>
      <c r="O26" s="7">
        <v>75.47</v>
      </c>
      <c r="P26" s="7" t="s">
        <v>26</v>
      </c>
      <c r="Q26" s="7" t="s">
        <v>879</v>
      </c>
      <c r="S26" s="7">
        <v>94.34</v>
      </c>
      <c r="T26" s="7" t="s">
        <v>26</v>
      </c>
    </row>
    <row r="27">
      <c r="A27" s="7" t="s">
        <v>880</v>
      </c>
      <c r="B27" s="7">
        <v>0.07961</v>
      </c>
      <c r="C27" s="7">
        <v>100.0</v>
      </c>
      <c r="D27" s="7" t="s">
        <v>15</v>
      </c>
      <c r="E27" s="7" t="s">
        <v>880</v>
      </c>
      <c r="F27" s="7">
        <v>1.83594</v>
      </c>
      <c r="G27" s="7">
        <v>100.0</v>
      </c>
      <c r="H27" s="7" t="s">
        <v>15</v>
      </c>
      <c r="I27" s="7" t="s">
        <v>880</v>
      </c>
      <c r="J27" s="7">
        <v>1.76352</v>
      </c>
      <c r="K27" s="7">
        <v>100.0</v>
      </c>
      <c r="L27" s="7" t="s">
        <v>15</v>
      </c>
      <c r="M27" s="7" t="s">
        <v>880</v>
      </c>
      <c r="O27" s="7">
        <v>100.0</v>
      </c>
      <c r="P27" s="7" t="s">
        <v>15</v>
      </c>
      <c r="Q27" s="7" t="s">
        <v>881</v>
      </c>
      <c r="S27" s="7">
        <v>92.31</v>
      </c>
      <c r="T27" s="7" t="s">
        <v>15</v>
      </c>
    </row>
    <row r="28">
      <c r="A28" s="7" t="s">
        <v>882</v>
      </c>
      <c r="B28" s="7">
        <v>0.088</v>
      </c>
      <c r="C28" s="7">
        <v>62.86</v>
      </c>
      <c r="D28" s="7" t="s">
        <v>26</v>
      </c>
      <c r="E28" s="7" t="s">
        <v>883</v>
      </c>
      <c r="F28" s="7">
        <v>2.43567</v>
      </c>
      <c r="G28" s="7">
        <v>57.89</v>
      </c>
      <c r="H28" s="7" t="s">
        <v>26</v>
      </c>
      <c r="I28" s="7" t="s">
        <v>884</v>
      </c>
      <c r="J28" s="7">
        <v>1.7435</v>
      </c>
      <c r="K28" s="7">
        <v>66.67</v>
      </c>
      <c r="L28" s="7" t="s">
        <v>26</v>
      </c>
      <c r="M28" s="7" t="s">
        <v>884</v>
      </c>
      <c r="O28" s="7">
        <v>66.67</v>
      </c>
      <c r="P28" s="7" t="s">
        <v>26</v>
      </c>
      <c r="Q28" s="7" t="s">
        <v>885</v>
      </c>
      <c r="S28" s="7">
        <v>76.47</v>
      </c>
      <c r="T28" s="7" t="s">
        <v>26</v>
      </c>
    </row>
    <row r="29">
      <c r="A29" s="7" t="s">
        <v>886</v>
      </c>
      <c r="B29" s="7">
        <v>0.09332</v>
      </c>
      <c r="C29" s="7">
        <v>88.37</v>
      </c>
      <c r="D29" s="7" t="s">
        <v>26</v>
      </c>
      <c r="E29" s="7" t="s">
        <v>887</v>
      </c>
      <c r="F29" s="7">
        <v>5.00259</v>
      </c>
      <c r="G29" s="7">
        <v>97.3</v>
      </c>
      <c r="H29" s="7" t="s">
        <v>26</v>
      </c>
      <c r="I29" s="7" t="s">
        <v>888</v>
      </c>
      <c r="J29" s="7">
        <v>3.47994</v>
      </c>
      <c r="K29" s="7">
        <v>100.0</v>
      </c>
      <c r="L29" s="7" t="s">
        <v>15</v>
      </c>
      <c r="M29" s="7" t="s">
        <v>887</v>
      </c>
      <c r="O29" s="7">
        <v>97.3</v>
      </c>
      <c r="P29" s="7" t="s">
        <v>26</v>
      </c>
      <c r="Q29" s="7" t="s">
        <v>889</v>
      </c>
      <c r="S29" s="7">
        <v>91.43</v>
      </c>
      <c r="T29" s="7" t="s">
        <v>26</v>
      </c>
    </row>
    <row r="30">
      <c r="A30" s="7" t="s">
        <v>890</v>
      </c>
      <c r="B30" s="7">
        <v>0.05456</v>
      </c>
      <c r="C30" s="7">
        <v>55.17</v>
      </c>
      <c r="D30" s="7" t="s">
        <v>26</v>
      </c>
      <c r="E30" s="7" t="s">
        <v>891</v>
      </c>
      <c r="F30" s="7">
        <v>3.03398</v>
      </c>
      <c r="G30" s="7">
        <v>100.0</v>
      </c>
      <c r="H30" s="7" t="s">
        <v>15</v>
      </c>
      <c r="I30" s="7" t="s">
        <v>892</v>
      </c>
      <c r="J30" s="7">
        <v>1.78424</v>
      </c>
      <c r="K30" s="7">
        <v>100.0</v>
      </c>
      <c r="L30" s="7" t="s">
        <v>15</v>
      </c>
      <c r="M30" s="7" t="s">
        <v>893</v>
      </c>
      <c r="O30" s="7">
        <v>96.77</v>
      </c>
      <c r="P30" s="7" t="s">
        <v>26</v>
      </c>
      <c r="Q30" s="7" t="s">
        <v>894</v>
      </c>
      <c r="S30" s="7">
        <v>75.0</v>
      </c>
      <c r="T30" s="7" t="s">
        <v>26</v>
      </c>
    </row>
    <row r="31">
      <c r="A31" s="7" t="s">
        <v>895</v>
      </c>
      <c r="B31" s="7">
        <v>0.05982</v>
      </c>
      <c r="C31" s="7">
        <v>89.47</v>
      </c>
      <c r="D31" s="7" t="s">
        <v>15</v>
      </c>
      <c r="E31" s="7" t="s">
        <v>896</v>
      </c>
      <c r="F31" s="7">
        <v>2.52229</v>
      </c>
      <c r="G31" s="7">
        <v>100.0</v>
      </c>
      <c r="H31" s="7" t="s">
        <v>15</v>
      </c>
      <c r="I31" s="7" t="s">
        <v>896</v>
      </c>
      <c r="J31" s="7">
        <v>2.20014</v>
      </c>
      <c r="K31" s="7">
        <v>100.0</v>
      </c>
      <c r="L31" s="7" t="s">
        <v>15</v>
      </c>
      <c r="M31" s="7" t="s">
        <v>897</v>
      </c>
      <c r="O31" s="7">
        <v>97.14</v>
      </c>
      <c r="P31" s="7" t="s">
        <v>26</v>
      </c>
      <c r="Q31" s="7" t="s">
        <v>898</v>
      </c>
      <c r="S31" s="7">
        <v>80.0</v>
      </c>
      <c r="T31" s="7" t="s">
        <v>26</v>
      </c>
    </row>
    <row r="32">
      <c r="A32" s="7" t="s">
        <v>899</v>
      </c>
      <c r="B32" s="7">
        <v>0.06881</v>
      </c>
      <c r="C32" s="7">
        <v>87.18</v>
      </c>
      <c r="D32" s="7" t="s">
        <v>15</v>
      </c>
      <c r="E32" s="7" t="s">
        <v>900</v>
      </c>
      <c r="F32" s="7">
        <v>3.20741</v>
      </c>
      <c r="G32" s="7">
        <v>100.0</v>
      </c>
      <c r="H32" s="7" t="s">
        <v>15</v>
      </c>
      <c r="I32" s="7" t="s">
        <v>899</v>
      </c>
      <c r="J32" s="7">
        <v>2.1071</v>
      </c>
      <c r="K32" s="7">
        <v>87.18</v>
      </c>
      <c r="L32" s="7" t="s">
        <v>15</v>
      </c>
      <c r="M32" s="7" t="s">
        <v>901</v>
      </c>
      <c r="O32" s="7">
        <v>97.14</v>
      </c>
      <c r="P32" s="7" t="s">
        <v>26</v>
      </c>
      <c r="Q32" s="7" t="s">
        <v>902</v>
      </c>
      <c r="S32" s="7">
        <v>77.78</v>
      </c>
      <c r="T32" s="7" t="s">
        <v>26</v>
      </c>
    </row>
    <row r="33">
      <c r="A33" s="7" t="s">
        <v>903</v>
      </c>
      <c r="B33" s="7">
        <v>0.0702</v>
      </c>
      <c r="C33" s="7">
        <v>51.61</v>
      </c>
      <c r="D33" s="7" t="s">
        <v>26</v>
      </c>
      <c r="E33" s="7" t="s">
        <v>904</v>
      </c>
      <c r="F33" s="7">
        <v>2.09557</v>
      </c>
      <c r="G33" s="7">
        <v>57.14</v>
      </c>
      <c r="H33" s="7" t="s">
        <v>26</v>
      </c>
      <c r="I33" s="7" t="s">
        <v>905</v>
      </c>
      <c r="J33" s="7">
        <v>1.74047</v>
      </c>
      <c r="K33" s="7">
        <v>62.86</v>
      </c>
      <c r="L33" s="7" t="s">
        <v>15</v>
      </c>
      <c r="M33" s="7" t="s">
        <v>906</v>
      </c>
      <c r="O33" s="7">
        <v>96.0</v>
      </c>
      <c r="P33" s="7" t="s">
        <v>26</v>
      </c>
      <c r="Q33" s="7" t="s">
        <v>907</v>
      </c>
      <c r="S33" s="7">
        <v>50.0</v>
      </c>
      <c r="T33" s="7" t="s">
        <v>26</v>
      </c>
    </row>
    <row r="34">
      <c r="A34" s="7" t="s">
        <v>908</v>
      </c>
      <c r="B34" s="7">
        <v>0.19484</v>
      </c>
      <c r="C34" s="7">
        <v>59.46</v>
      </c>
      <c r="D34" s="7" t="s">
        <v>26</v>
      </c>
      <c r="E34" s="7" t="s">
        <v>909</v>
      </c>
      <c r="F34" s="7">
        <v>2.14798</v>
      </c>
      <c r="G34" s="7">
        <v>100.0</v>
      </c>
      <c r="H34" s="7" t="s">
        <v>15</v>
      </c>
      <c r="I34" s="7" t="s">
        <v>910</v>
      </c>
      <c r="J34" s="7">
        <v>2.16965</v>
      </c>
      <c r="K34" s="7">
        <v>100.0</v>
      </c>
      <c r="L34" s="7" t="s">
        <v>15</v>
      </c>
      <c r="M34" s="7" t="s">
        <v>911</v>
      </c>
      <c r="O34" s="7">
        <v>96.0</v>
      </c>
      <c r="P34" s="7" t="s">
        <v>26</v>
      </c>
      <c r="Q34" s="7" t="s">
        <v>912</v>
      </c>
      <c r="S34" s="7">
        <v>59.26</v>
      </c>
      <c r="T34" s="7" t="s">
        <v>26</v>
      </c>
    </row>
    <row r="35">
      <c r="A35" s="7" t="s">
        <v>624</v>
      </c>
      <c r="B35" s="7">
        <v>0.06438</v>
      </c>
      <c r="C35" s="7">
        <v>0.0</v>
      </c>
      <c r="D35" s="7" t="s">
        <v>99</v>
      </c>
      <c r="E35" s="7" t="s">
        <v>913</v>
      </c>
      <c r="F35" s="7">
        <v>2.61094</v>
      </c>
      <c r="G35" s="7">
        <v>77.55</v>
      </c>
      <c r="H35" s="7" t="s">
        <v>26</v>
      </c>
      <c r="I35" s="7" t="s">
        <v>913</v>
      </c>
      <c r="J35" s="7">
        <v>16.7672</v>
      </c>
      <c r="K35" s="7">
        <v>77.55</v>
      </c>
      <c r="L35" s="7" t="s">
        <v>26</v>
      </c>
      <c r="M35" s="7" t="s">
        <v>914</v>
      </c>
      <c r="O35" s="7">
        <v>93.02</v>
      </c>
      <c r="P35" s="7" t="s">
        <v>26</v>
      </c>
      <c r="Q35" s="7" t="s">
        <v>915</v>
      </c>
      <c r="S35" s="7">
        <v>77.27</v>
      </c>
      <c r="T35" s="7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4.38"/>
    <col customWidth="1" min="5" max="5" width="38.88"/>
    <col customWidth="1" min="6" max="6" width="14.38"/>
    <col customWidth="1" min="9" max="9" width="52.75"/>
    <col customWidth="1" min="10" max="10" width="14.38"/>
    <col customWidth="1" min="13" max="13" width="35.63"/>
    <col customWidth="1" min="16" max="16" width="25.13"/>
    <col customWidth="1" min="17" max="17" width="32.75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916</v>
      </c>
      <c r="B2" s="7">
        <v>0.13083</v>
      </c>
      <c r="C2" s="7">
        <v>55.07</v>
      </c>
      <c r="D2" s="7" t="s">
        <v>26</v>
      </c>
      <c r="E2" s="7" t="s">
        <v>917</v>
      </c>
      <c r="F2" s="7">
        <v>2.72137</v>
      </c>
      <c r="G2" s="7">
        <v>64.0</v>
      </c>
      <c r="H2" s="7" t="s">
        <v>26</v>
      </c>
      <c r="I2" s="7" t="s">
        <v>918</v>
      </c>
      <c r="J2" s="7">
        <v>1.97007</v>
      </c>
      <c r="K2" s="7">
        <v>49.46</v>
      </c>
      <c r="L2" s="7" t="s">
        <v>26</v>
      </c>
      <c r="M2" s="7" t="s">
        <v>919</v>
      </c>
      <c r="N2" s="7">
        <v>3.85781</v>
      </c>
      <c r="O2" s="7">
        <v>68.75</v>
      </c>
      <c r="P2" s="7" t="s">
        <v>26</v>
      </c>
      <c r="Q2" s="17" t="s">
        <v>920</v>
      </c>
      <c r="R2" s="7">
        <v>4.85802</v>
      </c>
      <c r="S2" s="7">
        <v>69.57</v>
      </c>
      <c r="T2" s="7" t="s">
        <v>26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921</v>
      </c>
      <c r="B3" s="7">
        <v>0.1144</v>
      </c>
      <c r="C3" s="7">
        <v>100.0</v>
      </c>
      <c r="D3" s="7" t="s">
        <v>15</v>
      </c>
      <c r="E3" s="7" t="s">
        <v>921</v>
      </c>
      <c r="F3" s="7">
        <v>1.72213</v>
      </c>
      <c r="G3" s="7">
        <v>100.0</v>
      </c>
      <c r="H3" s="7" t="s">
        <v>15</v>
      </c>
      <c r="I3" s="7" t="s">
        <v>921</v>
      </c>
      <c r="J3" s="7">
        <v>1.96651</v>
      </c>
      <c r="K3" s="7">
        <v>100.0</v>
      </c>
      <c r="L3" s="7" t="s">
        <v>15</v>
      </c>
      <c r="M3" s="7" t="s">
        <v>922</v>
      </c>
      <c r="O3" s="7">
        <v>95.45</v>
      </c>
      <c r="P3" s="7" t="s">
        <v>15</v>
      </c>
      <c r="Q3" s="17" t="s">
        <v>922</v>
      </c>
      <c r="S3" s="7">
        <v>95.45</v>
      </c>
      <c r="T3" s="7" t="s">
        <v>15</v>
      </c>
      <c r="U3" s="8">
        <f>AVERAGE(B2:B1000)</f>
        <v>0.1384328571</v>
      </c>
      <c r="V3" s="8">
        <f>AVERAGE(F2:F1000)</f>
        <v>2.048225714</v>
      </c>
      <c r="W3" s="8">
        <f>AVERAGE(J2:J1000)</f>
        <v>2.012108571</v>
      </c>
      <c r="X3" s="8">
        <f>N2/COUNTA(M2:M1000)</f>
        <v>0.1837052381</v>
      </c>
      <c r="Y3" s="8">
        <f>R2/COUNTA(Q2:Q1000)</f>
        <v>0.2313342857</v>
      </c>
      <c r="Z3" s="7" t="s">
        <v>18</v>
      </c>
    </row>
    <row r="4">
      <c r="A4" s="7" t="s">
        <v>923</v>
      </c>
      <c r="B4" s="7">
        <v>0.0951</v>
      </c>
      <c r="C4" s="7">
        <v>100.0</v>
      </c>
      <c r="D4" s="7" t="s">
        <v>15</v>
      </c>
      <c r="E4" s="7" t="s">
        <v>923</v>
      </c>
      <c r="F4" s="7">
        <v>1.85703</v>
      </c>
      <c r="G4" s="7">
        <v>100.0</v>
      </c>
      <c r="H4" s="7" t="s">
        <v>15</v>
      </c>
      <c r="I4" s="7" t="s">
        <v>923</v>
      </c>
      <c r="J4" s="7">
        <v>1.90818</v>
      </c>
      <c r="K4" s="7">
        <v>100.0</v>
      </c>
      <c r="L4" s="7" t="s">
        <v>15</v>
      </c>
      <c r="M4" s="7" t="s">
        <v>924</v>
      </c>
      <c r="O4" s="7">
        <v>93.75</v>
      </c>
      <c r="P4" s="7" t="s">
        <v>15</v>
      </c>
      <c r="Q4" s="17" t="s">
        <v>924</v>
      </c>
      <c r="S4" s="7">
        <v>93.75</v>
      </c>
      <c r="T4" s="7" t="s">
        <v>15</v>
      </c>
      <c r="U4" s="8">
        <f>STDEV(B2:B1000)</f>
        <v>0.06505682702</v>
      </c>
      <c r="V4" s="8">
        <f>STDEV(F2:F1000)</f>
        <v>0.4229742587</v>
      </c>
      <c r="W4" s="8">
        <f>STDEV(J2:J1000)</f>
        <v>0.1809284246</v>
      </c>
      <c r="X4" s="8"/>
      <c r="Y4" s="8"/>
      <c r="Z4" s="7" t="s">
        <v>20</v>
      </c>
    </row>
    <row r="5">
      <c r="A5" s="7" t="s">
        <v>925</v>
      </c>
      <c r="B5" s="7">
        <v>0.09973</v>
      </c>
      <c r="C5" s="7">
        <v>60.0</v>
      </c>
      <c r="D5" s="7" t="s">
        <v>26</v>
      </c>
      <c r="E5" s="7" t="s">
        <v>926</v>
      </c>
      <c r="F5" s="7">
        <v>1.686</v>
      </c>
      <c r="G5" s="7">
        <v>100.0</v>
      </c>
      <c r="H5" s="7" t="s">
        <v>15</v>
      </c>
      <c r="I5" s="7" t="s">
        <v>926</v>
      </c>
      <c r="J5" s="7">
        <v>2.03552</v>
      </c>
      <c r="K5" s="7">
        <v>100.0</v>
      </c>
      <c r="L5" s="7" t="s">
        <v>15</v>
      </c>
      <c r="M5" s="7" t="s">
        <v>927</v>
      </c>
      <c r="O5" s="7">
        <v>95.24</v>
      </c>
      <c r="P5" s="7" t="s">
        <v>15</v>
      </c>
      <c r="Q5" s="17" t="s">
        <v>927</v>
      </c>
      <c r="S5" s="7">
        <v>95.24</v>
      </c>
      <c r="T5" s="7" t="s">
        <v>15</v>
      </c>
      <c r="U5" s="8">
        <f>MAX(B2:B1000)</f>
        <v>0.30204</v>
      </c>
      <c r="V5" s="8">
        <f>MAX(F2:F1000)</f>
        <v>3.29609</v>
      </c>
      <c r="W5" s="8">
        <f>MAX(J2:J1000)</f>
        <v>2.47212</v>
      </c>
      <c r="X5" s="8"/>
      <c r="Y5" s="8"/>
      <c r="Z5" s="7" t="s">
        <v>22</v>
      </c>
    </row>
    <row r="6">
      <c r="A6" s="7" t="s">
        <v>928</v>
      </c>
      <c r="B6" s="7">
        <v>0.30204</v>
      </c>
      <c r="C6" s="7">
        <v>100.0</v>
      </c>
      <c r="D6" s="7" t="s">
        <v>15</v>
      </c>
      <c r="E6" s="7" t="s">
        <v>929</v>
      </c>
      <c r="F6" s="7">
        <v>1.98853</v>
      </c>
      <c r="G6" s="7">
        <v>94.34</v>
      </c>
      <c r="H6" s="7" t="s">
        <v>26</v>
      </c>
      <c r="I6" s="7" t="s">
        <v>928</v>
      </c>
      <c r="J6" s="7">
        <v>1.80283</v>
      </c>
      <c r="K6" s="7">
        <v>100.0</v>
      </c>
      <c r="L6" s="7" t="s">
        <v>15</v>
      </c>
      <c r="M6" s="7" t="s">
        <v>930</v>
      </c>
      <c r="O6" s="7">
        <v>90.2</v>
      </c>
      <c r="P6" s="7" t="s">
        <v>26</v>
      </c>
      <c r="Q6" s="17" t="s">
        <v>930</v>
      </c>
      <c r="S6" s="7">
        <v>90.2</v>
      </c>
      <c r="T6" s="7" t="s">
        <v>26</v>
      </c>
      <c r="U6" s="8">
        <f>MIN(B2:B1000)</f>
        <v>0.06264</v>
      </c>
      <c r="V6" s="8">
        <f>MIN(F2:F1000)</f>
        <v>1.686</v>
      </c>
      <c r="W6" s="8">
        <f>MIN(J2:J1000)</f>
        <v>1.72012</v>
      </c>
      <c r="X6" s="8"/>
      <c r="Y6" s="8"/>
      <c r="Z6" s="7" t="s">
        <v>24</v>
      </c>
    </row>
    <row r="7">
      <c r="A7" s="7" t="s">
        <v>931</v>
      </c>
      <c r="B7" s="7">
        <v>0.14175</v>
      </c>
      <c r="C7" s="7">
        <v>81.48</v>
      </c>
      <c r="D7" s="7" t="s">
        <v>15</v>
      </c>
      <c r="E7" s="7" t="s">
        <v>932</v>
      </c>
      <c r="F7" s="7">
        <v>2.13062</v>
      </c>
      <c r="G7" s="7">
        <v>100.0</v>
      </c>
      <c r="H7" s="7" t="s">
        <v>15</v>
      </c>
      <c r="I7" s="7" t="s">
        <v>933</v>
      </c>
      <c r="J7" s="7">
        <v>1.99262</v>
      </c>
      <c r="K7" s="7">
        <v>90.91</v>
      </c>
      <c r="L7" s="7" t="s">
        <v>15</v>
      </c>
      <c r="M7" s="7" t="s">
        <v>933</v>
      </c>
      <c r="O7" s="7">
        <v>90.91</v>
      </c>
      <c r="P7" s="7" t="s">
        <v>15</v>
      </c>
      <c r="Q7" s="17" t="s">
        <v>934</v>
      </c>
      <c r="S7" s="7">
        <v>66.67</v>
      </c>
      <c r="T7" s="7" t="s">
        <v>15</v>
      </c>
      <c r="U7" s="8">
        <f>SUM(B2:B1000)</f>
        <v>2.90709</v>
      </c>
      <c r="V7" s="8">
        <f>SUM(F2:F1000)</f>
        <v>43.01274</v>
      </c>
      <c r="W7" s="8">
        <f>SUM(J2:J1000)</f>
        <v>42.25428</v>
      </c>
      <c r="X7" s="8">
        <f>N2</f>
        <v>3.85781</v>
      </c>
      <c r="Y7" s="8">
        <f>R2</f>
        <v>4.85802</v>
      </c>
      <c r="Z7" s="7" t="s">
        <v>28</v>
      </c>
    </row>
    <row r="8">
      <c r="A8" s="7" t="s">
        <v>935</v>
      </c>
      <c r="B8" s="7">
        <v>0.06264</v>
      </c>
      <c r="C8" s="7">
        <v>75.68</v>
      </c>
      <c r="D8" s="7" t="s">
        <v>26</v>
      </c>
      <c r="E8" s="7" t="s">
        <v>936</v>
      </c>
      <c r="F8" s="7">
        <v>1.74458</v>
      </c>
      <c r="G8" s="7">
        <v>80.0</v>
      </c>
      <c r="H8" s="7" t="s">
        <v>15</v>
      </c>
      <c r="I8" s="7" t="s">
        <v>936</v>
      </c>
      <c r="J8" s="7">
        <v>1.72012</v>
      </c>
      <c r="K8" s="7">
        <v>80.0</v>
      </c>
      <c r="L8" s="7" t="s">
        <v>15</v>
      </c>
      <c r="M8" s="7" t="s">
        <v>937</v>
      </c>
      <c r="O8" s="7">
        <v>92.86</v>
      </c>
      <c r="P8" s="7" t="s">
        <v>15</v>
      </c>
      <c r="Q8" s="17" t="s">
        <v>938</v>
      </c>
      <c r="S8" s="7">
        <v>72.73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939</v>
      </c>
      <c r="B9" s="7">
        <v>0.07071</v>
      </c>
      <c r="C9" s="7">
        <v>68.85</v>
      </c>
      <c r="D9" s="7" t="s">
        <v>26</v>
      </c>
      <c r="E9" s="7" t="s">
        <v>940</v>
      </c>
      <c r="F9" s="7">
        <v>3.29609</v>
      </c>
      <c r="G9" s="7">
        <v>100.0</v>
      </c>
      <c r="H9" s="7" t="s">
        <v>15</v>
      </c>
      <c r="I9" s="7" t="s">
        <v>941</v>
      </c>
      <c r="J9" s="7">
        <v>1.99776</v>
      </c>
      <c r="K9" s="7">
        <v>95.65</v>
      </c>
      <c r="L9" s="7" t="s">
        <v>15</v>
      </c>
      <c r="M9" s="7" t="s">
        <v>942</v>
      </c>
      <c r="O9" s="7">
        <v>89.8</v>
      </c>
      <c r="P9" s="7" t="s">
        <v>26</v>
      </c>
      <c r="Q9" s="17" t="s">
        <v>943</v>
      </c>
      <c r="S9" s="7">
        <v>80.77</v>
      </c>
      <c r="T9" s="7" t="s">
        <v>26</v>
      </c>
      <c r="U9" s="9">
        <f>AVERAGE(C2:C1000)</f>
        <v>69.03904762</v>
      </c>
      <c r="V9" s="9">
        <f>AVERAGE(G2:G1000)</f>
        <v>80.56761905</v>
      </c>
      <c r="W9" s="9">
        <f>AVERAGE(K2:K1000)</f>
        <v>78.31952381</v>
      </c>
      <c r="X9" s="9">
        <f>AVERAGE(O2:O1000)</f>
        <v>75.62285714</v>
      </c>
      <c r="Y9" s="9">
        <f>AVERAGE(S2:S1000)</f>
        <v>70.94190476</v>
      </c>
      <c r="Z9" s="7" t="s">
        <v>18</v>
      </c>
    </row>
    <row r="10">
      <c r="A10" s="7" t="s">
        <v>944</v>
      </c>
      <c r="B10" s="7">
        <v>0.1628</v>
      </c>
      <c r="C10" s="7">
        <v>53.66</v>
      </c>
      <c r="D10" s="7" t="s">
        <v>26</v>
      </c>
      <c r="E10" s="7" t="s">
        <v>945</v>
      </c>
      <c r="F10" s="7">
        <v>2.99058</v>
      </c>
      <c r="G10" s="7">
        <v>60.0</v>
      </c>
      <c r="H10" s="7" t="s">
        <v>26</v>
      </c>
      <c r="I10" s="7" t="s">
        <v>946</v>
      </c>
      <c r="J10" s="7">
        <v>1.94198</v>
      </c>
      <c r="K10" s="7">
        <v>45.61</v>
      </c>
      <c r="L10" s="7" t="s">
        <v>26</v>
      </c>
      <c r="M10" s="7" t="s">
        <v>947</v>
      </c>
      <c r="O10" s="7">
        <v>57.78</v>
      </c>
      <c r="P10" s="7" t="s">
        <v>26</v>
      </c>
      <c r="Q10" s="17" t="s">
        <v>947</v>
      </c>
      <c r="S10" s="7">
        <v>57.78</v>
      </c>
      <c r="T10" s="7" t="s">
        <v>26</v>
      </c>
      <c r="U10" s="9">
        <f>STDEV(C2:C1000)</f>
        <v>21.2433274</v>
      </c>
      <c r="V10" s="9">
        <f>STDEV(G2:G1000)</f>
        <v>16.49526081</v>
      </c>
      <c r="W10" s="9">
        <f>STDEV(K2:K1000)</f>
        <v>18.42693558</v>
      </c>
      <c r="X10" s="9">
        <f>STDEV(O2:O1000)</f>
        <v>15.28118259</v>
      </c>
      <c r="Y10" s="9">
        <f>STDEV(S2:S1000)</f>
        <v>12.89203654</v>
      </c>
      <c r="Z10" s="7" t="s">
        <v>20</v>
      </c>
    </row>
    <row r="11">
      <c r="A11" s="7" t="s">
        <v>948</v>
      </c>
      <c r="B11" s="7">
        <v>0.15428</v>
      </c>
      <c r="C11" s="7">
        <v>64.41</v>
      </c>
      <c r="D11" s="7" t="s">
        <v>26</v>
      </c>
      <c r="E11" s="7" t="s">
        <v>949</v>
      </c>
      <c r="F11" s="7">
        <v>1.82373</v>
      </c>
      <c r="G11" s="7">
        <v>65.52</v>
      </c>
      <c r="H11" s="7" t="s">
        <v>26</v>
      </c>
      <c r="I11" s="7" t="s">
        <v>948</v>
      </c>
      <c r="J11" s="7">
        <v>1.89889</v>
      </c>
      <c r="K11" s="7">
        <v>64.41</v>
      </c>
      <c r="L11" s="7" t="s">
        <v>26</v>
      </c>
      <c r="M11" s="7" t="s">
        <v>950</v>
      </c>
      <c r="O11" s="7">
        <v>59.65</v>
      </c>
      <c r="P11" s="7" t="s">
        <v>26</v>
      </c>
      <c r="Q11" s="17" t="s">
        <v>950</v>
      </c>
      <c r="S11" s="7">
        <v>59.65</v>
      </c>
      <c r="T11" s="7" t="s">
        <v>26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95.45</v>
      </c>
      <c r="Y11" s="9">
        <f>MAX(S2:S1000)</f>
        <v>95.45</v>
      </c>
      <c r="Z11" s="7" t="s">
        <v>22</v>
      </c>
    </row>
    <row r="12">
      <c r="A12" s="7" t="s">
        <v>951</v>
      </c>
      <c r="B12" s="7">
        <v>0.13153</v>
      </c>
      <c r="C12" s="7">
        <v>62.3</v>
      </c>
      <c r="D12" s="7" t="s">
        <v>26</v>
      </c>
      <c r="E12" s="7" t="s">
        <v>951</v>
      </c>
      <c r="F12" s="7">
        <v>1.97607</v>
      </c>
      <c r="G12" s="7">
        <v>62.3</v>
      </c>
      <c r="H12" s="7" t="s">
        <v>26</v>
      </c>
      <c r="I12" s="7" t="s">
        <v>951</v>
      </c>
      <c r="J12" s="7">
        <v>2.26022</v>
      </c>
      <c r="K12" s="7">
        <v>62.3</v>
      </c>
      <c r="L12" s="7" t="s">
        <v>26</v>
      </c>
      <c r="M12" s="7" t="s">
        <v>952</v>
      </c>
      <c r="O12" s="7">
        <v>57.63</v>
      </c>
      <c r="P12" s="7" t="s">
        <v>26</v>
      </c>
      <c r="Q12" s="17" t="s">
        <v>952</v>
      </c>
      <c r="S12" s="7">
        <v>57.63</v>
      </c>
      <c r="T12" s="7" t="s">
        <v>26</v>
      </c>
      <c r="U12" s="9">
        <f>MIN(C2:C1000)</f>
        <v>0</v>
      </c>
      <c r="V12" s="9">
        <f>MIN(G2:G1000)</f>
        <v>60</v>
      </c>
      <c r="W12" s="9">
        <f>MIN(K2:K1000)</f>
        <v>45.61</v>
      </c>
      <c r="X12" s="9">
        <f>MIN(O2:O1000)</f>
        <v>57.14</v>
      </c>
      <c r="Y12" s="9">
        <f>MIN(S2:S1000)</f>
        <v>57.14</v>
      </c>
      <c r="Z12" s="7" t="s">
        <v>24</v>
      </c>
    </row>
    <row r="13">
      <c r="A13" s="7" t="s">
        <v>953</v>
      </c>
      <c r="B13" s="7">
        <v>0.20424</v>
      </c>
      <c r="C13" s="7">
        <v>61.54</v>
      </c>
      <c r="D13" s="7" t="s">
        <v>26</v>
      </c>
      <c r="E13" s="7" t="s">
        <v>953</v>
      </c>
      <c r="F13" s="7">
        <v>1.82231</v>
      </c>
      <c r="G13" s="7">
        <v>61.54</v>
      </c>
      <c r="H13" s="7" t="s">
        <v>26</v>
      </c>
      <c r="I13" s="7" t="s">
        <v>953</v>
      </c>
      <c r="J13" s="7">
        <v>2.47212</v>
      </c>
      <c r="K13" s="7">
        <v>61.54</v>
      </c>
      <c r="L13" s="7" t="s">
        <v>26</v>
      </c>
      <c r="M13" s="7" t="s">
        <v>954</v>
      </c>
      <c r="O13" s="7">
        <v>57.14</v>
      </c>
      <c r="P13" s="7" t="s">
        <v>26</v>
      </c>
      <c r="Q13" s="17" t="s">
        <v>954</v>
      </c>
      <c r="S13" s="7">
        <v>57.14</v>
      </c>
      <c r="T13" s="7" t="s">
        <v>26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955</v>
      </c>
      <c r="B14" s="7">
        <v>0.0864</v>
      </c>
      <c r="C14" s="7">
        <v>66.67</v>
      </c>
      <c r="D14" s="7" t="s">
        <v>26</v>
      </c>
      <c r="E14" s="7" t="s">
        <v>956</v>
      </c>
      <c r="F14" s="7">
        <v>1.85653</v>
      </c>
      <c r="G14" s="7">
        <v>66.67</v>
      </c>
      <c r="H14" s="7" t="s">
        <v>26</v>
      </c>
      <c r="I14" s="7" t="s">
        <v>955</v>
      </c>
      <c r="J14" s="7">
        <v>2.17535</v>
      </c>
      <c r="K14" s="7">
        <v>66.67</v>
      </c>
      <c r="L14" s="7" t="s">
        <v>26</v>
      </c>
      <c r="M14" s="7" t="s">
        <v>957</v>
      </c>
      <c r="O14" s="7">
        <v>62.3</v>
      </c>
      <c r="P14" s="7" t="s">
        <v>26</v>
      </c>
      <c r="Q14" s="17" t="s">
        <v>957</v>
      </c>
      <c r="S14" s="7">
        <v>62.3</v>
      </c>
      <c r="T14" s="7" t="s">
        <v>26</v>
      </c>
      <c r="U14" s="8">
        <f t="shared" ref="U14:Y14" si="1">U15/(U15+U16+U17)</f>
        <v>0.2857142857</v>
      </c>
      <c r="V14" s="8">
        <f t="shared" si="1"/>
        <v>0.380952381</v>
      </c>
      <c r="W14" s="8">
        <f t="shared" si="1"/>
        <v>0.4285714286</v>
      </c>
      <c r="X14" s="8">
        <f t="shared" si="1"/>
        <v>0.3333333333</v>
      </c>
      <c r="Y14" s="8">
        <f t="shared" si="1"/>
        <v>0.3333333333</v>
      </c>
      <c r="Z14" s="7" t="s">
        <v>44</v>
      </c>
    </row>
    <row r="15">
      <c r="A15" s="7" t="s">
        <v>958</v>
      </c>
      <c r="B15" s="7">
        <v>0.11724</v>
      </c>
      <c r="C15" s="7">
        <v>64.41</v>
      </c>
      <c r="D15" s="7" t="s">
        <v>26</v>
      </c>
      <c r="E15" s="7" t="s">
        <v>959</v>
      </c>
      <c r="F15" s="7">
        <v>1.90159</v>
      </c>
      <c r="G15" s="7">
        <v>65.52</v>
      </c>
      <c r="H15" s="7" t="s">
        <v>26</v>
      </c>
      <c r="I15" s="7" t="s">
        <v>958</v>
      </c>
      <c r="J15" s="7">
        <v>2.2095</v>
      </c>
      <c r="K15" s="7">
        <v>64.41</v>
      </c>
      <c r="L15" s="7" t="s">
        <v>26</v>
      </c>
      <c r="M15" s="7" t="s">
        <v>960</v>
      </c>
      <c r="O15" s="7">
        <v>59.65</v>
      </c>
      <c r="P15" s="7" t="s">
        <v>26</v>
      </c>
      <c r="Q15" s="17" t="s">
        <v>960</v>
      </c>
      <c r="S15" s="7">
        <v>59.65</v>
      </c>
      <c r="T15" s="7" t="s">
        <v>26</v>
      </c>
      <c r="U15" s="10">
        <f>COUNTIF(D2:D1000,"VALID")</f>
        <v>6</v>
      </c>
      <c r="V15" s="10">
        <f>COUNTIF(H2:H1000,"VALID")</f>
        <v>8</v>
      </c>
      <c r="W15" s="10">
        <f>COUNTIF(L2:L1000,"VALID")</f>
        <v>9</v>
      </c>
      <c r="X15" s="10">
        <f>COUNTIF(P2:P1000,"VALID")</f>
        <v>7</v>
      </c>
      <c r="Y15" s="10">
        <f>COUNTIF(T2:T1000,"VALID")</f>
        <v>7</v>
      </c>
      <c r="Z15" s="7" t="s">
        <v>47</v>
      </c>
    </row>
    <row r="16">
      <c r="A16" s="7" t="s">
        <v>961</v>
      </c>
      <c r="B16" s="7">
        <v>0.16561</v>
      </c>
      <c r="C16" s="7">
        <v>65.57</v>
      </c>
      <c r="D16" s="7" t="s">
        <v>26</v>
      </c>
      <c r="E16" s="7" t="s">
        <v>962</v>
      </c>
      <c r="F16" s="7">
        <v>1.88303</v>
      </c>
      <c r="G16" s="7">
        <v>66.67</v>
      </c>
      <c r="H16" s="7" t="s">
        <v>26</v>
      </c>
      <c r="I16" s="7" t="s">
        <v>963</v>
      </c>
      <c r="J16" s="7">
        <v>1.89212</v>
      </c>
      <c r="K16" s="7">
        <v>65.57</v>
      </c>
      <c r="L16" s="7" t="s">
        <v>26</v>
      </c>
      <c r="M16" s="7" t="s">
        <v>964</v>
      </c>
      <c r="O16" s="7">
        <v>61.02</v>
      </c>
      <c r="P16" s="7" t="s">
        <v>26</v>
      </c>
      <c r="Q16" s="17" t="s">
        <v>964</v>
      </c>
      <c r="S16" s="7">
        <v>61.02</v>
      </c>
      <c r="T16" s="7" t="s">
        <v>26</v>
      </c>
      <c r="U16" s="10">
        <f>COUNTIF(D2:D1000,"INVALID")</f>
        <v>14</v>
      </c>
      <c r="V16" s="10">
        <f>COUNTIF(H2:H1000,"INVALID")</f>
        <v>13</v>
      </c>
      <c r="W16" s="10">
        <f>COUNTIF(L2:L1000,"INVALID")</f>
        <v>12</v>
      </c>
      <c r="X16" s="10">
        <f>COUNTIF(P2:P1000,"INVALID")</f>
        <v>14</v>
      </c>
      <c r="Y16" s="10">
        <f>COUNTIF(T2:T1000,"INVALID")</f>
        <v>14</v>
      </c>
      <c r="Z16" s="7" t="s">
        <v>50</v>
      </c>
    </row>
    <row r="17">
      <c r="A17" s="7" t="s">
        <v>965</v>
      </c>
      <c r="B17" s="7">
        <v>0.28625</v>
      </c>
      <c r="C17" s="7">
        <v>58.82</v>
      </c>
      <c r="D17" s="7" t="s">
        <v>26</v>
      </c>
      <c r="E17" s="7" t="s">
        <v>966</v>
      </c>
      <c r="F17" s="7">
        <v>1.98845</v>
      </c>
      <c r="G17" s="7">
        <v>64.41</v>
      </c>
      <c r="H17" s="7" t="s">
        <v>26</v>
      </c>
      <c r="I17" s="7" t="s">
        <v>948</v>
      </c>
      <c r="J17" s="7">
        <v>1.91465</v>
      </c>
      <c r="K17" s="7">
        <v>64.41</v>
      </c>
      <c r="L17" s="7" t="s">
        <v>26</v>
      </c>
      <c r="M17" s="7" t="s">
        <v>950</v>
      </c>
      <c r="O17" s="7">
        <v>59.65</v>
      </c>
      <c r="P17" s="7" t="s">
        <v>26</v>
      </c>
      <c r="Q17" s="17" t="s">
        <v>950</v>
      </c>
      <c r="S17" s="7">
        <v>59.65</v>
      </c>
      <c r="T17" s="7" t="s">
        <v>26</v>
      </c>
      <c r="U17" s="10">
        <f>COUNTIF(D2:D1000,"ERROR")</f>
        <v>1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967</v>
      </c>
      <c r="B18" s="7">
        <v>0.19476</v>
      </c>
      <c r="C18" s="7">
        <v>83.33</v>
      </c>
      <c r="D18" s="7" t="s">
        <v>15</v>
      </c>
      <c r="E18" s="7" t="s">
        <v>968</v>
      </c>
      <c r="F18" s="7">
        <v>1.993</v>
      </c>
      <c r="G18" s="7">
        <v>100.0</v>
      </c>
      <c r="H18" s="7" t="s">
        <v>15</v>
      </c>
      <c r="I18" s="7" t="s">
        <v>968</v>
      </c>
      <c r="J18" s="7">
        <v>1.90955</v>
      </c>
      <c r="K18" s="7">
        <v>100.0</v>
      </c>
      <c r="L18" s="7" t="s">
        <v>15</v>
      </c>
      <c r="M18" s="7" t="s">
        <v>969</v>
      </c>
      <c r="O18" s="7">
        <v>90.0</v>
      </c>
      <c r="P18" s="7" t="s">
        <v>15</v>
      </c>
      <c r="Q18" s="17" t="s">
        <v>970</v>
      </c>
      <c r="S18" s="7">
        <v>72.73</v>
      </c>
      <c r="T18" s="7" t="s">
        <v>15</v>
      </c>
      <c r="U18" s="14">
        <f t="shared" ref="U18:Y18" si="2">U17/(U17+U16+U15)</f>
        <v>0.04761904762</v>
      </c>
      <c r="V18" s="14">
        <f t="shared" si="2"/>
        <v>0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7" t="s">
        <v>57</v>
      </c>
    </row>
    <row r="19">
      <c r="A19" s="7" t="s">
        <v>971</v>
      </c>
      <c r="B19" s="7">
        <v>0.08981</v>
      </c>
      <c r="C19" s="7">
        <v>81.82</v>
      </c>
      <c r="D19" s="7" t="s">
        <v>15</v>
      </c>
      <c r="E19" s="7" t="s">
        <v>972</v>
      </c>
      <c r="F19" s="7">
        <v>1.81765</v>
      </c>
      <c r="G19" s="7">
        <v>100.0</v>
      </c>
      <c r="H19" s="7" t="s">
        <v>15</v>
      </c>
      <c r="I19" s="7" t="s">
        <v>972</v>
      </c>
      <c r="J19" s="7">
        <v>2.02354</v>
      </c>
      <c r="K19" s="7">
        <v>100.0</v>
      </c>
      <c r="L19" s="7" t="s">
        <v>15</v>
      </c>
      <c r="M19" s="7" t="s">
        <v>973</v>
      </c>
      <c r="O19" s="7">
        <v>88.89</v>
      </c>
      <c r="P19" s="7" t="s">
        <v>15</v>
      </c>
      <c r="Q19" s="17" t="s">
        <v>974</v>
      </c>
      <c r="S19" s="7">
        <v>70.0</v>
      </c>
      <c r="T19" s="7" t="s">
        <v>15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624</v>
      </c>
      <c r="B20" s="7">
        <v>0.07797</v>
      </c>
      <c r="C20" s="7">
        <v>0.0</v>
      </c>
      <c r="D20" s="7" t="s">
        <v>99</v>
      </c>
      <c r="E20" s="7" t="s">
        <v>975</v>
      </c>
      <c r="F20" s="7">
        <v>1.97009</v>
      </c>
      <c r="G20" s="7">
        <v>88.89</v>
      </c>
      <c r="H20" s="7" t="s">
        <v>26</v>
      </c>
      <c r="I20" s="7" t="s">
        <v>975</v>
      </c>
      <c r="J20" s="7">
        <v>1.96124</v>
      </c>
      <c r="K20" s="7">
        <v>88.89</v>
      </c>
      <c r="L20" s="7" t="s">
        <v>26</v>
      </c>
      <c r="M20" s="7" t="s">
        <v>976</v>
      </c>
      <c r="O20" s="7">
        <v>75.68</v>
      </c>
      <c r="P20" s="7" t="s">
        <v>26</v>
      </c>
      <c r="Q20" s="17" t="s">
        <v>977</v>
      </c>
      <c r="S20" s="7">
        <v>71.79</v>
      </c>
      <c r="T20" s="7" t="s">
        <v>26</v>
      </c>
      <c r="U20" s="8">
        <f>COUNTIF(C2:C1000,100)/COUNTA(A2:A1000)</f>
        <v>0.1428571429</v>
      </c>
      <c r="V20" s="8">
        <f>COUNTIF(G2:G1000,100)/COUNTA(E2:E1000)</f>
        <v>0.3333333333</v>
      </c>
      <c r="W20" s="8">
        <f>COUNTIF(K2:K1000,100)/COUNTA(I2:I1000)</f>
        <v>0.2857142857</v>
      </c>
      <c r="X20" s="16">
        <f>COUNTIF(O2:O1000,100)/COUNTA(M2:M1000)</f>
        <v>0</v>
      </c>
      <c r="Y20" s="16">
        <f>COUNTIF(S2:S1000,100)/COUNTA(Q2:Q1000)</f>
        <v>0</v>
      </c>
      <c r="Z20" s="7" t="s">
        <v>63</v>
      </c>
    </row>
    <row r="21">
      <c r="A21" s="7" t="s">
        <v>978</v>
      </c>
      <c r="B21" s="7">
        <v>0.13859</v>
      </c>
      <c r="C21" s="7">
        <v>71.7</v>
      </c>
      <c r="D21" s="7" t="s">
        <v>26</v>
      </c>
      <c r="E21" s="7" t="s">
        <v>979</v>
      </c>
      <c r="F21" s="7">
        <v>2.00251</v>
      </c>
      <c r="G21" s="7">
        <v>74.51</v>
      </c>
      <c r="H21" s="7" t="s">
        <v>26</v>
      </c>
      <c r="I21" s="7" t="s">
        <v>979</v>
      </c>
      <c r="J21" s="7">
        <v>2.32492</v>
      </c>
      <c r="K21" s="7">
        <v>74.51</v>
      </c>
      <c r="L21" s="7" t="s">
        <v>26</v>
      </c>
      <c r="M21" s="7" t="s">
        <v>980</v>
      </c>
      <c r="O21" s="7">
        <v>69.39</v>
      </c>
      <c r="P21" s="7" t="s">
        <v>26</v>
      </c>
      <c r="Q21" s="17" t="s">
        <v>981</v>
      </c>
      <c r="S21" s="7">
        <v>66.67</v>
      </c>
      <c r="T21" s="7" t="s">
        <v>26</v>
      </c>
      <c r="U21" s="10">
        <f>COUNTIF(C2:C1000,100)</f>
        <v>3</v>
      </c>
      <c r="V21" s="10">
        <f>COUNTIF(G2:G1000,100)</f>
        <v>7</v>
      </c>
      <c r="W21" s="10">
        <f>COUNTIF(K2:K1000,100)</f>
        <v>6</v>
      </c>
      <c r="X21" s="10">
        <f>COUNTIF(O2:O1000,100)</f>
        <v>0</v>
      </c>
      <c r="Y21" s="10">
        <f>COUNTIF(S2:S1000,100)</f>
        <v>0</v>
      </c>
      <c r="Z21" s="7" t="s">
        <v>65</v>
      </c>
    </row>
    <row r="22">
      <c r="A22" s="7" t="s">
        <v>982</v>
      </c>
      <c r="B22" s="7">
        <v>0.08041</v>
      </c>
      <c r="C22" s="7">
        <v>74.51</v>
      </c>
      <c r="D22" s="7" t="s">
        <v>26</v>
      </c>
      <c r="E22" s="7" t="s">
        <v>983</v>
      </c>
      <c r="F22" s="7">
        <v>1.84085</v>
      </c>
      <c r="G22" s="7">
        <v>77.55</v>
      </c>
      <c r="H22" s="7" t="s">
        <v>26</v>
      </c>
      <c r="I22" s="7" t="s">
        <v>984</v>
      </c>
      <c r="J22" s="7">
        <v>1.87659</v>
      </c>
      <c r="K22" s="7">
        <v>70.37</v>
      </c>
      <c r="L22" s="7" t="s">
        <v>26</v>
      </c>
      <c r="M22" s="7" t="s">
        <v>985</v>
      </c>
      <c r="O22" s="7">
        <v>72.34</v>
      </c>
      <c r="P22" s="7" t="s">
        <v>26</v>
      </c>
      <c r="Q22" s="17" t="s">
        <v>986</v>
      </c>
      <c r="S22" s="7">
        <v>69.39</v>
      </c>
      <c r="T22" s="7" t="s">
        <v>26</v>
      </c>
      <c r="U22" s="10">
        <f>COUNTA(A2:A1000)-COUNTIF(C2:C1000,100)</f>
        <v>18</v>
      </c>
      <c r="V22" s="10">
        <f>COUNTA(E2:E1000)-COUNTIF(G2:G1000,100)</f>
        <v>14</v>
      </c>
      <c r="W22" s="10">
        <f>COUNTA(I2:I1000)-COUNTIF(K2:K1000,100)</f>
        <v>15</v>
      </c>
      <c r="X22" s="10">
        <f>COUNTA(M2:M1000)-COUNTIF(O2:O1000,100)</f>
        <v>21</v>
      </c>
      <c r="Y22" s="10">
        <f>COUNTA(Q2:Q1000)-COUNTIF(S2:S1000,100)</f>
        <v>21</v>
      </c>
      <c r="Z22" s="7" t="s">
        <v>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14.38"/>
    <col customWidth="1" min="4" max="4" width="27.25"/>
    <col customWidth="1" min="5" max="5" width="52.38"/>
    <col customWidth="1" min="6" max="6" width="14.38"/>
    <col customWidth="1" min="9" max="9" width="54.0"/>
    <col customWidth="1" min="10" max="10" width="14.38"/>
    <col customWidth="1" min="13" max="13" width="52.38"/>
    <col customWidth="1" min="17" max="17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987</v>
      </c>
      <c r="B2" s="7">
        <v>0.07072</v>
      </c>
      <c r="C2" s="7">
        <v>78.57</v>
      </c>
      <c r="D2" s="7" t="s">
        <v>26</v>
      </c>
      <c r="E2" s="7" t="s">
        <v>988</v>
      </c>
      <c r="F2" s="7">
        <v>1.86682</v>
      </c>
      <c r="G2" s="7">
        <v>100.0</v>
      </c>
      <c r="H2" s="7" t="s">
        <v>15</v>
      </c>
      <c r="I2" s="7" t="s">
        <v>988</v>
      </c>
      <c r="J2" s="7">
        <v>2.12572</v>
      </c>
      <c r="K2" s="7">
        <v>100.0</v>
      </c>
      <c r="L2" s="7" t="s">
        <v>15</v>
      </c>
      <c r="M2" s="7" t="s">
        <v>988</v>
      </c>
      <c r="N2" s="7">
        <v>3.83688</v>
      </c>
      <c r="O2" s="7">
        <v>100.0</v>
      </c>
      <c r="P2" s="7" t="s">
        <v>15</v>
      </c>
      <c r="Q2" s="7" t="s">
        <v>988</v>
      </c>
      <c r="R2" s="7">
        <v>4.25458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989</v>
      </c>
      <c r="B3" s="7">
        <v>0.07487</v>
      </c>
      <c r="C3" s="7">
        <v>62.5</v>
      </c>
      <c r="D3" s="7" t="s">
        <v>15</v>
      </c>
      <c r="E3" s="7" t="s">
        <v>988</v>
      </c>
      <c r="F3" s="7">
        <v>1.79644</v>
      </c>
      <c r="G3" s="7">
        <v>100.0</v>
      </c>
      <c r="H3" s="7" t="s">
        <v>15</v>
      </c>
      <c r="I3" s="7" t="s">
        <v>988</v>
      </c>
      <c r="J3" s="7">
        <v>1.74564</v>
      </c>
      <c r="K3" s="7">
        <v>100.0</v>
      </c>
      <c r="L3" s="7" t="s">
        <v>15</v>
      </c>
      <c r="M3" s="7" t="s">
        <v>988</v>
      </c>
      <c r="O3" s="7">
        <v>100.0</v>
      </c>
      <c r="P3" s="7" t="s">
        <v>15</v>
      </c>
      <c r="Q3" s="7" t="s">
        <v>988</v>
      </c>
      <c r="S3" s="7">
        <v>100.0</v>
      </c>
      <c r="T3" s="7" t="s">
        <v>15</v>
      </c>
      <c r="U3" s="8">
        <f>AVERAGE(B2:B1000)</f>
        <v>0.1006758824</v>
      </c>
      <c r="V3" s="8">
        <f>AVERAGE(F2:F1000)</f>
        <v>1.941489412</v>
      </c>
      <c r="W3" s="8">
        <f>AVERAGE(J2:J1000)</f>
        <v>2.133145882</v>
      </c>
      <c r="X3" s="8">
        <f>N2/COUNTA(M2:M1000)</f>
        <v>0.2256988235</v>
      </c>
      <c r="Y3" s="8">
        <f>R2/COUNTA(Q2:Q1000)</f>
        <v>0.2502694118</v>
      </c>
      <c r="Z3" s="7" t="s">
        <v>18</v>
      </c>
    </row>
    <row r="4">
      <c r="A4" s="7" t="s">
        <v>990</v>
      </c>
      <c r="B4" s="7">
        <v>0.06626</v>
      </c>
      <c r="C4" s="7">
        <v>0.0</v>
      </c>
      <c r="D4" s="7" t="s">
        <v>99</v>
      </c>
      <c r="E4" s="7" t="s">
        <v>991</v>
      </c>
      <c r="F4" s="7">
        <v>2.1185</v>
      </c>
      <c r="G4" s="7">
        <v>96.55</v>
      </c>
      <c r="H4" s="7" t="s">
        <v>26</v>
      </c>
      <c r="I4" s="7" t="s">
        <v>991</v>
      </c>
      <c r="J4" s="7">
        <v>3.5421</v>
      </c>
      <c r="K4" s="7">
        <v>96.55</v>
      </c>
      <c r="L4" s="7" t="s">
        <v>26</v>
      </c>
      <c r="M4" s="7" t="s">
        <v>991</v>
      </c>
      <c r="O4" s="7">
        <v>96.55</v>
      </c>
      <c r="P4" s="7" t="s">
        <v>26</v>
      </c>
      <c r="Q4" s="7" t="s">
        <v>991</v>
      </c>
      <c r="S4" s="7">
        <v>96.55</v>
      </c>
      <c r="T4" s="7" t="s">
        <v>26</v>
      </c>
      <c r="U4" s="8">
        <f>STDEV(B2:B1000)</f>
        <v>0.05547386773</v>
      </c>
      <c r="V4" s="8">
        <f>STDEV(F2:F1000)</f>
        <v>0.1512698524</v>
      </c>
      <c r="W4" s="8">
        <f>STDEV(J2:J1000)</f>
        <v>0.453893447</v>
      </c>
      <c r="X4" s="8"/>
      <c r="Y4" s="8"/>
      <c r="Z4" s="7" t="s">
        <v>20</v>
      </c>
    </row>
    <row r="5">
      <c r="A5" s="7" t="s">
        <v>992</v>
      </c>
      <c r="B5" s="7">
        <v>0.09382</v>
      </c>
      <c r="C5" s="7">
        <v>100.0</v>
      </c>
      <c r="D5" s="7" t="s">
        <v>15</v>
      </c>
      <c r="E5" s="7" t="s">
        <v>992</v>
      </c>
      <c r="F5" s="7">
        <v>1.78729</v>
      </c>
      <c r="G5" s="7">
        <v>100.0</v>
      </c>
      <c r="H5" s="7" t="s">
        <v>15</v>
      </c>
      <c r="I5" s="7" t="s">
        <v>992</v>
      </c>
      <c r="J5" s="7">
        <v>1.78581</v>
      </c>
      <c r="K5" s="7">
        <v>100.0</v>
      </c>
      <c r="L5" s="7" t="s">
        <v>15</v>
      </c>
      <c r="M5" s="7" t="s">
        <v>992</v>
      </c>
      <c r="O5" s="7">
        <v>100.0</v>
      </c>
      <c r="P5" s="7" t="s">
        <v>15</v>
      </c>
      <c r="Q5" s="7" t="s">
        <v>992</v>
      </c>
      <c r="S5" s="7">
        <v>100.0</v>
      </c>
      <c r="T5" s="7" t="s">
        <v>15</v>
      </c>
      <c r="U5" s="8">
        <f>MAX(B2:B1000)</f>
        <v>0.29218</v>
      </c>
      <c r="V5" s="8">
        <f>MAX(F2:F1000)</f>
        <v>2.35107</v>
      </c>
      <c r="W5" s="8">
        <f>MAX(J2:J1000)</f>
        <v>3.5421</v>
      </c>
      <c r="X5" s="8"/>
      <c r="Y5" s="8"/>
      <c r="Z5" s="7" t="s">
        <v>22</v>
      </c>
    </row>
    <row r="6">
      <c r="A6" s="7" t="s">
        <v>993</v>
      </c>
      <c r="B6" s="7">
        <v>0.0768</v>
      </c>
      <c r="C6" s="7">
        <v>82.86</v>
      </c>
      <c r="D6" s="7" t="s">
        <v>26</v>
      </c>
      <c r="E6" s="7" t="s">
        <v>994</v>
      </c>
      <c r="F6" s="7">
        <v>1.99826</v>
      </c>
      <c r="G6" s="7">
        <v>81.69</v>
      </c>
      <c r="H6" s="7" t="s">
        <v>26</v>
      </c>
      <c r="I6" s="7" t="s">
        <v>995</v>
      </c>
      <c r="J6" s="7">
        <v>1.74864</v>
      </c>
      <c r="K6" s="7">
        <v>95.77</v>
      </c>
      <c r="L6" s="7" t="s">
        <v>26</v>
      </c>
      <c r="M6" s="7" t="s">
        <v>996</v>
      </c>
      <c r="O6" s="7">
        <v>81.69</v>
      </c>
      <c r="P6" s="7" t="s">
        <v>26</v>
      </c>
      <c r="Q6" s="7" t="s">
        <v>995</v>
      </c>
      <c r="S6" s="7">
        <v>95.77</v>
      </c>
      <c r="T6" s="7" t="s">
        <v>26</v>
      </c>
      <c r="U6" s="8">
        <f>MIN(B2:B1000)</f>
        <v>0.05613</v>
      </c>
      <c r="V6" s="8">
        <f>MIN(F2:F1000)</f>
        <v>1.74308</v>
      </c>
      <c r="W6" s="8">
        <f>MIN(J2:J1000)</f>
        <v>1.74564</v>
      </c>
      <c r="X6" s="8"/>
      <c r="Y6" s="8"/>
      <c r="Z6" s="7" t="s">
        <v>24</v>
      </c>
    </row>
    <row r="7">
      <c r="A7" s="7" t="s">
        <v>997</v>
      </c>
      <c r="B7" s="7">
        <v>0.09057</v>
      </c>
      <c r="C7" s="7">
        <v>60.78</v>
      </c>
      <c r="D7" s="7" t="s">
        <v>26</v>
      </c>
      <c r="E7" s="7" t="s">
        <v>998</v>
      </c>
      <c r="F7" s="7">
        <v>1.95759</v>
      </c>
      <c r="G7" s="7">
        <v>66.67</v>
      </c>
      <c r="H7" s="7" t="s">
        <v>26</v>
      </c>
      <c r="I7" s="7" t="s">
        <v>999</v>
      </c>
      <c r="J7" s="7">
        <v>1.78797</v>
      </c>
      <c r="K7" s="7">
        <v>68.66</v>
      </c>
      <c r="L7" s="7" t="s">
        <v>26</v>
      </c>
      <c r="M7" s="7" t="s">
        <v>998</v>
      </c>
      <c r="O7" s="7">
        <v>66.67</v>
      </c>
      <c r="P7" s="7" t="s">
        <v>26</v>
      </c>
      <c r="Q7" s="7" t="s">
        <v>1000</v>
      </c>
      <c r="S7" s="7">
        <v>83.58</v>
      </c>
      <c r="T7" s="7" t="s">
        <v>26</v>
      </c>
      <c r="U7" s="8">
        <f>SUM(B2:B1000)</f>
        <v>1.71149</v>
      </c>
      <c r="V7" s="8">
        <f>SUM(F2:F1000)</f>
        <v>33.00532</v>
      </c>
      <c r="W7" s="8">
        <f>SUM(J2:J1000)</f>
        <v>36.26348</v>
      </c>
      <c r="X7" s="8">
        <f>N2</f>
        <v>3.83688</v>
      </c>
      <c r="Y7" s="8">
        <f>R2</f>
        <v>4.25458</v>
      </c>
      <c r="Z7" s="7" t="s">
        <v>28</v>
      </c>
    </row>
    <row r="8">
      <c r="A8" s="7" t="s">
        <v>1001</v>
      </c>
      <c r="B8" s="7">
        <v>0.07543</v>
      </c>
      <c r="C8" s="7">
        <v>80.46</v>
      </c>
      <c r="D8" s="7" t="s">
        <v>26</v>
      </c>
      <c r="E8" s="7" t="s">
        <v>1002</v>
      </c>
      <c r="F8" s="7">
        <v>1.97957</v>
      </c>
      <c r="G8" s="7">
        <v>59.34</v>
      </c>
      <c r="H8" s="7" t="s">
        <v>26</v>
      </c>
      <c r="I8" s="7" t="s">
        <v>1003</v>
      </c>
      <c r="J8" s="7">
        <v>1.83872</v>
      </c>
      <c r="K8" s="7">
        <v>73.56</v>
      </c>
      <c r="L8" s="7" t="s">
        <v>26</v>
      </c>
      <c r="M8" s="7" t="s">
        <v>1004</v>
      </c>
      <c r="O8" s="7">
        <v>88.64</v>
      </c>
      <c r="P8" s="7" t="s">
        <v>26</v>
      </c>
      <c r="Q8" s="7" t="s">
        <v>1003</v>
      </c>
      <c r="S8" s="7">
        <v>73.56</v>
      </c>
      <c r="T8" s="7" t="s">
        <v>26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1005</v>
      </c>
      <c r="B9" s="7">
        <v>0.06958</v>
      </c>
      <c r="C9" s="7">
        <v>85.71</v>
      </c>
      <c r="D9" s="7" t="s">
        <v>26</v>
      </c>
      <c r="E9" s="7" t="s">
        <v>1006</v>
      </c>
      <c r="F9" s="7">
        <v>1.95323</v>
      </c>
      <c r="G9" s="7">
        <v>92.75</v>
      </c>
      <c r="H9" s="7" t="s">
        <v>26</v>
      </c>
      <c r="I9" s="7" t="s">
        <v>1007</v>
      </c>
      <c r="J9" s="7">
        <v>2.20726</v>
      </c>
      <c r="K9" s="7">
        <v>98.55</v>
      </c>
      <c r="L9" s="7" t="s">
        <v>15</v>
      </c>
      <c r="M9" s="7" t="s">
        <v>1006</v>
      </c>
      <c r="O9" s="7">
        <v>92.75</v>
      </c>
      <c r="P9" s="7" t="s">
        <v>26</v>
      </c>
      <c r="Q9" s="7" t="s">
        <v>1008</v>
      </c>
      <c r="S9" s="7">
        <v>71.05</v>
      </c>
      <c r="T9" s="7" t="s">
        <v>26</v>
      </c>
      <c r="U9" s="9">
        <f>AVERAGE(C2:C1000)</f>
        <v>68.91705882</v>
      </c>
      <c r="V9" s="9">
        <f>AVERAGE(G2:G1000)</f>
        <v>92.60882353</v>
      </c>
      <c r="W9" s="9">
        <f>AVERAGE(K2:K1000)</f>
        <v>94.26882353</v>
      </c>
      <c r="X9" s="9">
        <f>AVERAGE(O2:O1000)</f>
        <v>93.50529412</v>
      </c>
      <c r="Y9" s="9">
        <f>AVERAGE(S2:S1000)</f>
        <v>92.01705882</v>
      </c>
      <c r="Z9" s="7" t="s">
        <v>18</v>
      </c>
    </row>
    <row r="10">
      <c r="A10" s="7" t="s">
        <v>1009</v>
      </c>
      <c r="B10" s="7">
        <v>0.05613</v>
      </c>
      <c r="C10" s="7">
        <v>82.35</v>
      </c>
      <c r="D10" s="7" t="s">
        <v>26</v>
      </c>
      <c r="E10" s="7" t="s">
        <v>1010</v>
      </c>
      <c r="F10" s="7">
        <v>1.89034</v>
      </c>
      <c r="G10" s="7">
        <v>92.78</v>
      </c>
      <c r="H10" s="7" t="s">
        <v>26</v>
      </c>
      <c r="I10" s="7" t="s">
        <v>1011</v>
      </c>
      <c r="J10" s="7">
        <v>2.08028</v>
      </c>
      <c r="K10" s="7">
        <v>98.97</v>
      </c>
      <c r="L10" s="7" t="s">
        <v>15</v>
      </c>
      <c r="M10" s="7" t="s">
        <v>1010</v>
      </c>
      <c r="O10" s="7">
        <v>92.78</v>
      </c>
      <c r="P10" s="7" t="s">
        <v>26</v>
      </c>
      <c r="Q10" s="7" t="s">
        <v>1012</v>
      </c>
      <c r="S10" s="7">
        <v>73.27</v>
      </c>
      <c r="T10" s="7" t="s">
        <v>26</v>
      </c>
      <c r="U10" s="9">
        <f>STDEV(C2:C1000)</f>
        <v>35.20692772</v>
      </c>
      <c r="V10" s="9">
        <f>STDEV(G2:G1000)</f>
        <v>12.41648394</v>
      </c>
      <c r="W10" s="9">
        <f>STDEV(K2:K1000)</f>
        <v>9.985558248</v>
      </c>
      <c r="X10" s="9">
        <f>STDEV(O2:O1000)</f>
        <v>9.401628926</v>
      </c>
      <c r="Y10" s="9">
        <f>STDEV(S2:S1000)</f>
        <v>10.91804227</v>
      </c>
      <c r="Z10" s="7" t="s">
        <v>20</v>
      </c>
    </row>
    <row r="11">
      <c r="A11" s="7" t="s">
        <v>1013</v>
      </c>
      <c r="B11" s="7">
        <v>0.06512</v>
      </c>
      <c r="C11" s="7">
        <v>100.0</v>
      </c>
      <c r="D11" s="7" t="s">
        <v>15</v>
      </c>
      <c r="E11" s="7" t="s">
        <v>1014</v>
      </c>
      <c r="F11" s="7">
        <v>1.79688</v>
      </c>
      <c r="G11" s="7">
        <v>100.0</v>
      </c>
      <c r="H11" s="7" t="s">
        <v>15</v>
      </c>
      <c r="I11" s="7" t="s">
        <v>1013</v>
      </c>
      <c r="J11" s="7">
        <v>2.20106</v>
      </c>
      <c r="K11" s="7">
        <v>100.0</v>
      </c>
      <c r="L11" s="7" t="s">
        <v>15</v>
      </c>
      <c r="M11" s="7" t="s">
        <v>1014</v>
      </c>
      <c r="O11" s="7">
        <v>100.0</v>
      </c>
      <c r="P11" s="7" t="s">
        <v>15</v>
      </c>
      <c r="Q11" s="7" t="s">
        <v>1014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624</v>
      </c>
      <c r="B12" s="7">
        <v>0.06914</v>
      </c>
      <c r="C12" s="7">
        <v>0.0</v>
      </c>
      <c r="D12" s="7" t="s">
        <v>99</v>
      </c>
      <c r="E12" s="7" t="s">
        <v>1015</v>
      </c>
      <c r="F12" s="7">
        <v>1.96529</v>
      </c>
      <c r="G12" s="7">
        <v>100.0</v>
      </c>
      <c r="H12" s="7" t="s">
        <v>15</v>
      </c>
      <c r="I12" s="7" t="s">
        <v>1015</v>
      </c>
      <c r="J12" s="7">
        <v>2.09293</v>
      </c>
      <c r="K12" s="7">
        <v>100.0</v>
      </c>
      <c r="L12" s="7" t="s">
        <v>15</v>
      </c>
      <c r="M12" s="7" t="s">
        <v>1015</v>
      </c>
      <c r="O12" s="7">
        <v>100.0</v>
      </c>
      <c r="P12" s="7" t="s">
        <v>15</v>
      </c>
      <c r="Q12" s="7" t="s">
        <v>1015</v>
      </c>
      <c r="S12" s="7">
        <v>100.0</v>
      </c>
      <c r="T12" s="7" t="s">
        <v>15</v>
      </c>
      <c r="U12" s="9">
        <f>MIN(C2:C1000)</f>
        <v>0</v>
      </c>
      <c r="V12" s="9">
        <f>MIN(G2:G1000)</f>
        <v>59.34</v>
      </c>
      <c r="W12" s="9">
        <f>MIN(K2:K1000)</f>
        <v>68.66</v>
      </c>
      <c r="X12" s="9">
        <f>MIN(O2:O1000)</f>
        <v>66.67</v>
      </c>
      <c r="Y12" s="9">
        <f>MIN(S2:S1000)</f>
        <v>71.05</v>
      </c>
      <c r="Z12" s="7" t="s">
        <v>24</v>
      </c>
    </row>
    <row r="13">
      <c r="A13" s="7" t="s">
        <v>1016</v>
      </c>
      <c r="B13" s="7">
        <v>0.11599</v>
      </c>
      <c r="C13" s="7">
        <v>100.0</v>
      </c>
      <c r="D13" s="7" t="s">
        <v>15</v>
      </c>
      <c r="E13" s="7" t="s">
        <v>1017</v>
      </c>
      <c r="F13" s="7">
        <v>1.98618</v>
      </c>
      <c r="G13" s="7">
        <v>100.0</v>
      </c>
      <c r="H13" s="7" t="s">
        <v>15</v>
      </c>
      <c r="I13" s="7" t="s">
        <v>1017</v>
      </c>
      <c r="J13" s="7">
        <v>1.9428</v>
      </c>
      <c r="K13" s="7">
        <v>100.0</v>
      </c>
      <c r="L13" s="7" t="s">
        <v>15</v>
      </c>
      <c r="M13" s="7" t="s">
        <v>1017</v>
      </c>
      <c r="O13" s="7">
        <v>100.0</v>
      </c>
      <c r="P13" s="7" t="s">
        <v>15</v>
      </c>
      <c r="Q13" s="7" t="s">
        <v>1017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624</v>
      </c>
      <c r="B14" s="7">
        <v>0.29218</v>
      </c>
      <c r="C14" s="7">
        <v>0.0</v>
      </c>
      <c r="D14" s="7" t="s">
        <v>99</v>
      </c>
      <c r="E14" s="7" t="s">
        <v>1018</v>
      </c>
      <c r="F14" s="7">
        <v>2.35107</v>
      </c>
      <c r="G14" s="7">
        <v>100.0</v>
      </c>
      <c r="H14" s="7" t="s">
        <v>15</v>
      </c>
      <c r="I14" s="7" t="s">
        <v>1018</v>
      </c>
      <c r="J14" s="7">
        <v>1.93662</v>
      </c>
      <c r="K14" s="7">
        <v>100.0</v>
      </c>
      <c r="L14" s="7" t="s">
        <v>15</v>
      </c>
      <c r="M14" s="7" t="s">
        <v>1018</v>
      </c>
      <c r="O14" s="7">
        <v>100.0</v>
      </c>
      <c r="P14" s="7" t="s">
        <v>15</v>
      </c>
      <c r="Q14" s="7" t="s">
        <v>1018</v>
      </c>
      <c r="S14" s="7">
        <v>100.0</v>
      </c>
      <c r="T14" s="7" t="s">
        <v>15</v>
      </c>
      <c r="U14" s="8">
        <f t="shared" ref="U14:Y14" si="1">U15/(U15+U16+U17)</f>
        <v>0.2941176471</v>
      </c>
      <c r="V14" s="8">
        <f t="shared" si="1"/>
        <v>0.5294117647</v>
      </c>
      <c r="W14" s="8">
        <f t="shared" si="1"/>
        <v>0.6470588235</v>
      </c>
      <c r="X14" s="8">
        <f t="shared" si="1"/>
        <v>0.5294117647</v>
      </c>
      <c r="Y14" s="8">
        <f t="shared" si="1"/>
        <v>0.5294117647</v>
      </c>
      <c r="Z14" s="7" t="s">
        <v>44</v>
      </c>
    </row>
    <row r="15">
      <c r="A15" s="7" t="s">
        <v>1019</v>
      </c>
      <c r="B15" s="7">
        <v>0.12783</v>
      </c>
      <c r="C15" s="7">
        <v>94.92</v>
      </c>
      <c r="D15" s="7" t="s">
        <v>26</v>
      </c>
      <c r="E15" s="7" t="s">
        <v>1020</v>
      </c>
      <c r="F15" s="7">
        <v>1.81599</v>
      </c>
      <c r="G15" s="7">
        <v>86.79</v>
      </c>
      <c r="H15" s="7" t="s">
        <v>26</v>
      </c>
      <c r="I15" s="7" t="s">
        <v>1020</v>
      </c>
      <c r="J15" s="7">
        <v>2.12984</v>
      </c>
      <c r="K15" s="7">
        <v>86.79</v>
      </c>
      <c r="L15" s="7" t="s">
        <v>26</v>
      </c>
      <c r="M15" s="7" t="s">
        <v>1020</v>
      </c>
      <c r="O15" s="7">
        <v>86.79</v>
      </c>
      <c r="P15" s="7" t="s">
        <v>26</v>
      </c>
      <c r="Q15" s="7" t="s">
        <v>1020</v>
      </c>
      <c r="S15" s="7">
        <v>86.79</v>
      </c>
      <c r="T15" s="7" t="s">
        <v>26</v>
      </c>
      <c r="U15" s="10">
        <f>COUNTIF(D2:D1000,"VALID")</f>
        <v>5</v>
      </c>
      <c r="V15" s="10">
        <f>COUNTIF(H2:H1000,"VALID")</f>
        <v>9</v>
      </c>
      <c r="W15" s="10">
        <f>COUNTIF(L2:L1000,"VALID")</f>
        <v>11</v>
      </c>
      <c r="X15" s="10">
        <f>COUNTIF(P2:P1000,"VALID")</f>
        <v>9</v>
      </c>
      <c r="Y15" s="10">
        <f>COUNTIF(T2:T1000,"VALID")</f>
        <v>9</v>
      </c>
      <c r="Z15" s="7" t="s">
        <v>47</v>
      </c>
    </row>
    <row r="16">
      <c r="A16" s="7" t="s">
        <v>1021</v>
      </c>
      <c r="B16" s="7">
        <v>0.14436</v>
      </c>
      <c r="C16" s="7">
        <v>67.44</v>
      </c>
      <c r="D16" s="7" t="s">
        <v>26</v>
      </c>
      <c r="E16" s="7" t="s">
        <v>1022</v>
      </c>
      <c r="F16" s="7">
        <v>2.10815</v>
      </c>
      <c r="G16" s="7">
        <v>97.78</v>
      </c>
      <c r="H16" s="7" t="s">
        <v>26</v>
      </c>
      <c r="I16" s="7" t="s">
        <v>1023</v>
      </c>
      <c r="J16" s="7">
        <v>2.86054</v>
      </c>
      <c r="K16" s="7">
        <v>83.72</v>
      </c>
      <c r="L16" s="7" t="s">
        <v>26</v>
      </c>
      <c r="M16" s="7" t="s">
        <v>1023</v>
      </c>
      <c r="O16" s="7">
        <v>83.72</v>
      </c>
      <c r="P16" s="7" t="s">
        <v>26</v>
      </c>
      <c r="Q16" s="7" t="s">
        <v>1023</v>
      </c>
      <c r="S16" s="7">
        <v>83.72</v>
      </c>
      <c r="T16" s="7" t="s">
        <v>26</v>
      </c>
      <c r="U16" s="10">
        <f>COUNTIF(D2:D1000,"INVALID")</f>
        <v>8</v>
      </c>
      <c r="V16" s="10">
        <f>COUNTIF(H2:H1000,"INVALID")</f>
        <v>8</v>
      </c>
      <c r="W16" s="10">
        <f>COUNTIF(L2:L1000,"INVALID")</f>
        <v>6</v>
      </c>
      <c r="X16" s="10">
        <f>COUNTIF(P2:P1000,"INVALID")</f>
        <v>8</v>
      </c>
      <c r="Y16" s="10">
        <f>COUNTIF(T2:T1000,"INVALID")</f>
        <v>8</v>
      </c>
      <c r="Z16" s="7" t="s">
        <v>50</v>
      </c>
    </row>
    <row r="17">
      <c r="A17" s="7" t="s">
        <v>1024</v>
      </c>
      <c r="B17" s="7">
        <v>0.11976</v>
      </c>
      <c r="C17" s="7">
        <v>100.0</v>
      </c>
      <c r="D17" s="7" t="s">
        <v>15</v>
      </c>
      <c r="E17" s="7" t="s">
        <v>1025</v>
      </c>
      <c r="F17" s="7">
        <v>1.74308</v>
      </c>
      <c r="G17" s="7">
        <v>100.0</v>
      </c>
      <c r="H17" s="7" t="s">
        <v>15</v>
      </c>
      <c r="I17" s="7" t="s">
        <v>1024</v>
      </c>
      <c r="J17" s="7">
        <v>2.30279</v>
      </c>
      <c r="K17" s="7">
        <v>100.0</v>
      </c>
      <c r="L17" s="7" t="s">
        <v>15</v>
      </c>
      <c r="M17" s="7" t="s">
        <v>1025</v>
      </c>
      <c r="O17" s="7">
        <v>100.0</v>
      </c>
      <c r="P17" s="7" t="s">
        <v>15</v>
      </c>
      <c r="Q17" s="7" t="s">
        <v>1025</v>
      </c>
      <c r="S17" s="7">
        <v>100.0</v>
      </c>
      <c r="T17" s="7" t="s">
        <v>15</v>
      </c>
      <c r="U17" s="10">
        <f>COUNTIF(D2:D1000,"ERROR")</f>
        <v>4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1026</v>
      </c>
      <c r="B18" s="7">
        <v>0.10293</v>
      </c>
      <c r="C18" s="7">
        <v>76.0</v>
      </c>
      <c r="D18" s="7" t="s">
        <v>99</v>
      </c>
      <c r="E18" s="7" t="s">
        <v>1027</v>
      </c>
      <c r="F18" s="7">
        <v>1.89064</v>
      </c>
      <c r="G18" s="7">
        <v>100.0</v>
      </c>
      <c r="H18" s="7" t="s">
        <v>15</v>
      </c>
      <c r="I18" s="7" t="s">
        <v>1027</v>
      </c>
      <c r="J18" s="7">
        <v>1.93476</v>
      </c>
      <c r="K18" s="7">
        <v>100.0</v>
      </c>
      <c r="L18" s="7" t="s">
        <v>15</v>
      </c>
      <c r="M18" s="7" t="s">
        <v>1027</v>
      </c>
      <c r="O18" s="7">
        <v>100.0</v>
      </c>
      <c r="P18" s="7" t="s">
        <v>15</v>
      </c>
      <c r="Q18" s="7" t="s">
        <v>1027</v>
      </c>
      <c r="S18" s="7">
        <v>100.0</v>
      </c>
      <c r="T18" s="7" t="s">
        <v>15</v>
      </c>
      <c r="U18" s="14">
        <f t="shared" ref="U18:Y18" si="2">U17/(U17+U16+U15)</f>
        <v>0.2352941176</v>
      </c>
      <c r="V18" s="14">
        <f t="shared" si="2"/>
        <v>0</v>
      </c>
      <c r="W18" s="14">
        <f t="shared" si="2"/>
        <v>0</v>
      </c>
      <c r="X18" s="14">
        <f t="shared" si="2"/>
        <v>0</v>
      </c>
      <c r="Y18" s="14">
        <f t="shared" si="2"/>
        <v>0</v>
      </c>
      <c r="Z18" s="7" t="s">
        <v>57</v>
      </c>
    </row>
    <row r="19"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U20" s="8">
        <f>COUNTIF(C2:C1000,100)/COUNTA(A2:A1000)</f>
        <v>0.2352941176</v>
      </c>
      <c r="V20" s="8">
        <f>COUNTIF(G2:G1000,100)/COUNTA(E2:E1000)</f>
        <v>0.5294117647</v>
      </c>
      <c r="W20" s="8">
        <f>COUNTIF(K2:K1000,100)/COUNTA(I2:I1000)</f>
        <v>0.5294117647</v>
      </c>
      <c r="X20" s="8">
        <f>COUNTIF(O2:O1000,100)/COUNTA(M2:M1000)</f>
        <v>0.5294117647</v>
      </c>
      <c r="Y20" s="8">
        <f>COUNTIF(S2:S1000,100)/COUNTA(Q2:Q1000)</f>
        <v>0.5294117647</v>
      </c>
      <c r="Z20" s="7" t="s">
        <v>63</v>
      </c>
    </row>
    <row r="21">
      <c r="U21" s="10">
        <f>COUNTIF(C2:C1000,100)</f>
        <v>4</v>
      </c>
      <c r="V21" s="10">
        <f>COUNTIF(G2:G1000,100)</f>
        <v>9</v>
      </c>
      <c r="W21" s="10">
        <f>COUNTIF(K2:K1000,100)</f>
        <v>9</v>
      </c>
      <c r="X21" s="10">
        <f>COUNTIF(O2:O1000,100)</f>
        <v>9</v>
      </c>
      <c r="Y21" s="10">
        <f>COUNTIF(S2:S1000,100)</f>
        <v>9</v>
      </c>
      <c r="Z21" s="7" t="s">
        <v>65</v>
      </c>
    </row>
    <row r="22">
      <c r="U22" s="10">
        <f>COUNTA(A2:A1000)-COUNTIF(C2:C1000,100)</f>
        <v>13</v>
      </c>
      <c r="V22" s="10">
        <f>COUNTA(E2:E1000)-COUNTIF(G2:G1000,100)</f>
        <v>8</v>
      </c>
      <c r="W22" s="10">
        <f>COUNTA(I2:I1000)-COUNTIF(K2:K1000,100)</f>
        <v>8</v>
      </c>
      <c r="X22" s="10">
        <f>COUNTA(M2:M1000)-COUNTIF(O2:O1000,100)</f>
        <v>8</v>
      </c>
      <c r="Y22" s="10">
        <f>COUNTA(Q2:Q1000)-COUNTIF(S2:S1000,100)</f>
        <v>8</v>
      </c>
      <c r="Z22" s="7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25"/>
    <col customWidth="1" min="2" max="2" width="14.38"/>
    <col customWidth="1" min="4" max="4" width="27.25"/>
    <col customWidth="1" min="5" max="5" width="55.25"/>
    <col customWidth="1" min="6" max="6" width="14.38"/>
    <col customWidth="1" min="9" max="9" width="47.75"/>
    <col customWidth="1" min="10" max="10" width="14.38"/>
    <col customWidth="1" min="13" max="13" width="44.25"/>
    <col customWidth="1" min="14" max="14" width="14.38"/>
    <col customWidth="1" min="17" max="17" width="42.5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1028</v>
      </c>
      <c r="B2" s="7">
        <v>0.06367</v>
      </c>
      <c r="C2" s="7">
        <v>74.73</v>
      </c>
      <c r="D2" s="7" t="s">
        <v>26</v>
      </c>
      <c r="E2" s="7" t="s">
        <v>1029</v>
      </c>
      <c r="F2" s="7">
        <v>2.1947</v>
      </c>
      <c r="G2" s="7">
        <v>74.73</v>
      </c>
      <c r="H2" s="7" t="s">
        <v>26</v>
      </c>
      <c r="I2" s="7" t="s">
        <v>1030</v>
      </c>
      <c r="J2" s="7">
        <v>2.04846</v>
      </c>
      <c r="K2" s="7">
        <v>96.7</v>
      </c>
      <c r="L2" s="7" t="s">
        <v>26</v>
      </c>
      <c r="M2" s="7" t="s">
        <v>1029</v>
      </c>
      <c r="N2" s="7">
        <v>4.90567</v>
      </c>
      <c r="O2" s="7">
        <v>74.73</v>
      </c>
      <c r="P2" s="7" t="s">
        <v>26</v>
      </c>
      <c r="Q2" s="7" t="s">
        <v>1030</v>
      </c>
      <c r="R2" s="7">
        <v>5.11936</v>
      </c>
      <c r="S2" s="7">
        <v>96.7</v>
      </c>
      <c r="T2" s="7" t="s">
        <v>26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1031</v>
      </c>
      <c r="B3" s="7">
        <v>0.07995</v>
      </c>
      <c r="C3" s="7">
        <v>84.06</v>
      </c>
      <c r="D3" s="7" t="s">
        <v>26</v>
      </c>
      <c r="E3" s="7" t="s">
        <v>1032</v>
      </c>
      <c r="F3" s="7">
        <v>1.86908</v>
      </c>
      <c r="G3" s="7">
        <v>84.06</v>
      </c>
      <c r="H3" s="7" t="s">
        <v>26</v>
      </c>
      <c r="I3" s="7" t="s">
        <v>1033</v>
      </c>
      <c r="J3" s="7">
        <v>2.02257</v>
      </c>
      <c r="K3" s="7">
        <v>95.65</v>
      </c>
      <c r="L3" s="7" t="s">
        <v>26</v>
      </c>
      <c r="M3" s="7" t="s">
        <v>1032</v>
      </c>
      <c r="O3" s="7">
        <v>84.06</v>
      </c>
      <c r="P3" s="7" t="s">
        <v>26</v>
      </c>
      <c r="Q3" s="7" t="s">
        <v>1033</v>
      </c>
      <c r="S3" s="7">
        <v>95.65</v>
      </c>
      <c r="T3" s="7" t="s">
        <v>26</v>
      </c>
      <c r="U3" s="8">
        <f>AVERAGE(B2:B1000)</f>
        <v>0.08137571429</v>
      </c>
      <c r="V3" s="8">
        <f>AVERAGE(F2:F1000)</f>
        <v>2.034585714</v>
      </c>
      <c r="W3" s="8">
        <f>AVERAGE(J2:J1000)</f>
        <v>2.145150476</v>
      </c>
      <c r="X3" s="8">
        <f>N2/COUNTA(M2:M1000)</f>
        <v>0.2336033333</v>
      </c>
      <c r="Y3" s="8">
        <f>R2/COUNTA(Q2:Q1000)</f>
        <v>0.2437790476</v>
      </c>
      <c r="Z3" s="7" t="s">
        <v>18</v>
      </c>
    </row>
    <row r="4">
      <c r="A4" s="7" t="s">
        <v>1034</v>
      </c>
      <c r="B4" s="7">
        <v>0.09498</v>
      </c>
      <c r="C4" s="7">
        <v>84.21</v>
      </c>
      <c r="D4" s="7" t="s">
        <v>26</v>
      </c>
      <c r="E4" s="7" t="s">
        <v>1035</v>
      </c>
      <c r="F4" s="7">
        <v>2.08862</v>
      </c>
      <c r="G4" s="7">
        <v>84.21</v>
      </c>
      <c r="H4" s="7" t="s">
        <v>26</v>
      </c>
      <c r="I4" s="7" t="s">
        <v>1036</v>
      </c>
      <c r="J4" s="7">
        <v>1.80489</v>
      </c>
      <c r="K4" s="7">
        <v>100.0</v>
      </c>
      <c r="L4" s="7" t="s">
        <v>15</v>
      </c>
      <c r="M4" s="7" t="s">
        <v>1035</v>
      </c>
      <c r="O4" s="7">
        <v>84.21</v>
      </c>
      <c r="P4" s="7" t="s">
        <v>26</v>
      </c>
      <c r="Q4" s="7" t="s">
        <v>1036</v>
      </c>
      <c r="S4" s="7">
        <v>100.0</v>
      </c>
      <c r="T4" s="7" t="s">
        <v>15</v>
      </c>
      <c r="U4" s="8">
        <f>STDEV(B2:B1000)</f>
        <v>0.03153758212</v>
      </c>
      <c r="V4" s="8">
        <f>STDEV(F2:F1000)</f>
        <v>0.1828317146</v>
      </c>
      <c r="W4" s="8">
        <f>STDEV(J2:J1000)</f>
        <v>0.3439258896</v>
      </c>
      <c r="X4" s="8"/>
      <c r="Y4" s="8"/>
      <c r="Z4" s="7" t="s">
        <v>20</v>
      </c>
    </row>
    <row r="5">
      <c r="A5" s="7" t="s">
        <v>1037</v>
      </c>
      <c r="B5" s="7">
        <v>0.07178</v>
      </c>
      <c r="C5" s="7">
        <v>70.33</v>
      </c>
      <c r="D5" s="7" t="s">
        <v>26</v>
      </c>
      <c r="E5" s="7" t="s">
        <v>1038</v>
      </c>
      <c r="F5" s="7">
        <v>2.44355</v>
      </c>
      <c r="G5" s="7">
        <v>70.33</v>
      </c>
      <c r="H5" s="7" t="s">
        <v>26</v>
      </c>
      <c r="I5" s="7" t="s">
        <v>1039</v>
      </c>
      <c r="J5" s="7">
        <v>2.02964</v>
      </c>
      <c r="K5" s="7">
        <v>98.9</v>
      </c>
      <c r="L5" s="7" t="s">
        <v>26</v>
      </c>
      <c r="M5" s="7" t="s">
        <v>1038</v>
      </c>
      <c r="O5" s="7">
        <v>70.33</v>
      </c>
      <c r="P5" s="7" t="s">
        <v>26</v>
      </c>
      <c r="Q5" s="7" t="s">
        <v>1039</v>
      </c>
      <c r="S5" s="7">
        <v>98.9</v>
      </c>
      <c r="T5" s="7" t="s">
        <v>26</v>
      </c>
      <c r="U5" s="8">
        <f>MAX(B2:B1000)</f>
        <v>0.19858</v>
      </c>
      <c r="V5" s="8">
        <f>MAX(F2:F1000)</f>
        <v>2.49246</v>
      </c>
      <c r="W5" s="8">
        <f>MAX(J2:J1000)</f>
        <v>3.08498</v>
      </c>
      <c r="X5" s="8"/>
      <c r="Y5" s="8"/>
      <c r="Z5" s="7" t="s">
        <v>22</v>
      </c>
    </row>
    <row r="6">
      <c r="A6" s="7" t="s">
        <v>1040</v>
      </c>
      <c r="B6" s="7">
        <v>0.07136</v>
      </c>
      <c r="C6" s="7">
        <v>84.06</v>
      </c>
      <c r="D6" s="7" t="s">
        <v>26</v>
      </c>
      <c r="E6" s="7" t="s">
        <v>1041</v>
      </c>
      <c r="F6" s="7">
        <v>2.03642</v>
      </c>
      <c r="G6" s="7">
        <v>100.0</v>
      </c>
      <c r="H6" s="7" t="s">
        <v>15</v>
      </c>
      <c r="I6" s="7" t="s">
        <v>1041</v>
      </c>
      <c r="J6" s="7">
        <v>2.222</v>
      </c>
      <c r="K6" s="7">
        <v>100.0</v>
      </c>
      <c r="L6" s="7" t="s">
        <v>15</v>
      </c>
      <c r="M6" s="7" t="s">
        <v>1041</v>
      </c>
      <c r="O6" s="7">
        <v>100.0</v>
      </c>
      <c r="P6" s="7" t="s">
        <v>15</v>
      </c>
      <c r="Q6" s="7" t="s">
        <v>1041</v>
      </c>
      <c r="S6" s="7">
        <v>100.0</v>
      </c>
      <c r="T6" s="7" t="s">
        <v>15</v>
      </c>
      <c r="U6" s="8">
        <f>MIN(B2:B1000)</f>
        <v>0.04113</v>
      </c>
      <c r="V6" s="8">
        <f>MIN(F2:F1000)</f>
        <v>1.72151</v>
      </c>
      <c r="W6" s="8">
        <f>MIN(J2:J1000)</f>
        <v>1.71138</v>
      </c>
      <c r="X6" s="8"/>
      <c r="Y6" s="8"/>
      <c r="Z6" s="7" t="s">
        <v>24</v>
      </c>
    </row>
    <row r="7">
      <c r="A7" s="7" t="s">
        <v>1042</v>
      </c>
      <c r="B7" s="7">
        <v>0.04113</v>
      </c>
      <c r="C7" s="7">
        <v>86.42</v>
      </c>
      <c r="D7" s="7" t="s">
        <v>26</v>
      </c>
      <c r="E7" s="7" t="s">
        <v>1043</v>
      </c>
      <c r="F7" s="7">
        <v>1.93219</v>
      </c>
      <c r="G7" s="7">
        <v>100.0</v>
      </c>
      <c r="H7" s="7" t="s">
        <v>15</v>
      </c>
      <c r="I7" s="7" t="s">
        <v>1044</v>
      </c>
      <c r="J7" s="7">
        <v>1.76511</v>
      </c>
      <c r="K7" s="7">
        <v>100.0</v>
      </c>
      <c r="L7" s="7" t="s">
        <v>15</v>
      </c>
      <c r="M7" s="7" t="s">
        <v>1043</v>
      </c>
      <c r="O7" s="7">
        <v>100.0</v>
      </c>
      <c r="P7" s="7" t="s">
        <v>15</v>
      </c>
      <c r="Q7" s="7" t="s">
        <v>1043</v>
      </c>
      <c r="S7" s="7">
        <v>100.0</v>
      </c>
      <c r="T7" s="7" t="s">
        <v>15</v>
      </c>
      <c r="U7" s="8">
        <f>SUM(B2:B1000)</f>
        <v>1.70889</v>
      </c>
      <c r="V7" s="8">
        <f>SUM(F2:F1000)</f>
        <v>42.7263</v>
      </c>
      <c r="W7" s="8">
        <f>SUM(J2:J1000)</f>
        <v>45.04816</v>
      </c>
      <c r="X7" s="8">
        <f>N2</f>
        <v>4.90567</v>
      </c>
      <c r="Y7" s="8">
        <f>R2</f>
        <v>5.11936</v>
      </c>
      <c r="Z7" s="7" t="s">
        <v>28</v>
      </c>
    </row>
    <row r="8">
      <c r="A8" s="7" t="s">
        <v>1045</v>
      </c>
      <c r="B8" s="7">
        <v>0.04683</v>
      </c>
      <c r="C8" s="7">
        <v>51.38</v>
      </c>
      <c r="D8" s="7" t="s">
        <v>26</v>
      </c>
      <c r="E8" s="7" t="s">
        <v>1046</v>
      </c>
      <c r="F8" s="7">
        <v>2.13788</v>
      </c>
      <c r="G8" s="7">
        <v>73.68</v>
      </c>
      <c r="H8" s="7" t="s">
        <v>26</v>
      </c>
      <c r="I8" s="7" t="s">
        <v>1046</v>
      </c>
      <c r="J8" s="7">
        <v>1.85948</v>
      </c>
      <c r="K8" s="7">
        <v>73.68</v>
      </c>
      <c r="L8" s="7" t="s">
        <v>26</v>
      </c>
      <c r="M8" s="7" t="s">
        <v>1046</v>
      </c>
      <c r="O8" s="7">
        <v>73.68</v>
      </c>
      <c r="P8" s="7" t="s">
        <v>26</v>
      </c>
      <c r="Q8" s="7" t="s">
        <v>1047</v>
      </c>
      <c r="S8" s="7">
        <v>69.05</v>
      </c>
      <c r="T8" s="7" t="s">
        <v>26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1048</v>
      </c>
      <c r="B9" s="7">
        <v>0.07883</v>
      </c>
      <c r="C9" s="7">
        <v>100.0</v>
      </c>
      <c r="D9" s="7" t="s">
        <v>15</v>
      </c>
      <c r="E9" s="7" t="s">
        <v>1048</v>
      </c>
      <c r="F9" s="7">
        <v>1.93106</v>
      </c>
      <c r="G9" s="7">
        <v>100.0</v>
      </c>
      <c r="H9" s="7" t="s">
        <v>15</v>
      </c>
      <c r="I9" s="7" t="s">
        <v>1048</v>
      </c>
      <c r="J9" s="7">
        <v>1.71138</v>
      </c>
      <c r="K9" s="7">
        <v>100.0</v>
      </c>
      <c r="L9" s="7" t="s">
        <v>15</v>
      </c>
      <c r="M9" s="7" t="s">
        <v>1048</v>
      </c>
      <c r="O9" s="7">
        <v>100.0</v>
      </c>
      <c r="P9" s="7" t="s">
        <v>15</v>
      </c>
      <c r="Q9" s="7" t="s">
        <v>1048</v>
      </c>
      <c r="S9" s="7">
        <v>100.0</v>
      </c>
      <c r="T9" s="7" t="s">
        <v>15</v>
      </c>
      <c r="U9" s="9">
        <f>AVERAGE(C2:C1000)</f>
        <v>82.74952381</v>
      </c>
      <c r="V9" s="9">
        <f>AVERAGE(G2:G1000)</f>
        <v>83.07904762</v>
      </c>
      <c r="W9" s="9">
        <f>AVERAGE(K2:K1000)</f>
        <v>87.85619048</v>
      </c>
      <c r="X9" s="9">
        <f>AVERAGE(O2:O1000)</f>
        <v>85.96333333</v>
      </c>
      <c r="Y9" s="9">
        <f>AVERAGE(S2:S1000)</f>
        <v>89.07714286</v>
      </c>
      <c r="Z9" s="7" t="s">
        <v>18</v>
      </c>
    </row>
    <row r="10">
      <c r="A10" s="7" t="s">
        <v>1049</v>
      </c>
      <c r="B10" s="7">
        <v>0.08408</v>
      </c>
      <c r="C10" s="7">
        <v>100.0</v>
      </c>
      <c r="D10" s="7" t="s">
        <v>15</v>
      </c>
      <c r="E10" s="7" t="s">
        <v>1050</v>
      </c>
      <c r="F10" s="7">
        <v>2.11426</v>
      </c>
      <c r="G10" s="7">
        <v>100.0</v>
      </c>
      <c r="H10" s="7" t="s">
        <v>15</v>
      </c>
      <c r="I10" s="7" t="s">
        <v>1050</v>
      </c>
      <c r="J10" s="7">
        <v>1.89499</v>
      </c>
      <c r="K10" s="7">
        <v>100.0</v>
      </c>
      <c r="L10" s="7" t="s">
        <v>15</v>
      </c>
      <c r="M10" s="7" t="s">
        <v>1050</v>
      </c>
      <c r="O10" s="7">
        <v>100.0</v>
      </c>
      <c r="P10" s="7" t="s">
        <v>15</v>
      </c>
      <c r="Q10" s="7" t="s">
        <v>1050</v>
      </c>
      <c r="S10" s="7">
        <v>100.0</v>
      </c>
      <c r="T10" s="7" t="s">
        <v>15</v>
      </c>
      <c r="U10" s="9">
        <f>STDEV(C2:C1000)</f>
        <v>14.51808647</v>
      </c>
      <c r="V10" s="9">
        <f>STDEV(G2:G1000)</f>
        <v>14.96569574</v>
      </c>
      <c r="W10" s="9">
        <f>STDEV(K2:K1000)</f>
        <v>14.63234413</v>
      </c>
      <c r="X10" s="9">
        <f>STDEV(O2:O1000)</f>
        <v>13.25225012</v>
      </c>
      <c r="Y10" s="9">
        <f>STDEV(S2:S1000)</f>
        <v>13.48018143</v>
      </c>
      <c r="Z10" s="7" t="s">
        <v>20</v>
      </c>
    </row>
    <row r="11">
      <c r="A11" s="7" t="s">
        <v>1051</v>
      </c>
      <c r="B11" s="7">
        <v>0.08355</v>
      </c>
      <c r="C11" s="7">
        <v>100.0</v>
      </c>
      <c r="D11" s="7" t="s">
        <v>15</v>
      </c>
      <c r="E11" s="7" t="s">
        <v>1052</v>
      </c>
      <c r="F11" s="7">
        <v>1.86787</v>
      </c>
      <c r="G11" s="7">
        <v>100.0</v>
      </c>
      <c r="H11" s="7" t="s">
        <v>15</v>
      </c>
      <c r="I11" s="7" t="s">
        <v>1052</v>
      </c>
      <c r="J11" s="7">
        <v>2.35923</v>
      </c>
      <c r="K11" s="7">
        <v>100.0</v>
      </c>
      <c r="L11" s="7" t="s">
        <v>15</v>
      </c>
      <c r="M11" s="7" t="s">
        <v>1052</v>
      </c>
      <c r="O11" s="7">
        <v>100.0</v>
      </c>
      <c r="P11" s="7" t="s">
        <v>15</v>
      </c>
      <c r="Q11" s="7" t="s">
        <v>1052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1053</v>
      </c>
      <c r="B12" s="7">
        <v>0.07664</v>
      </c>
      <c r="C12" s="7">
        <v>100.0</v>
      </c>
      <c r="D12" s="7" t="s">
        <v>15</v>
      </c>
      <c r="E12" s="7" t="s">
        <v>1054</v>
      </c>
      <c r="F12" s="7">
        <v>1.92429</v>
      </c>
      <c r="G12" s="7">
        <v>100.0</v>
      </c>
      <c r="H12" s="7" t="s">
        <v>15</v>
      </c>
      <c r="I12" s="7" t="s">
        <v>1054</v>
      </c>
      <c r="J12" s="7">
        <v>2.59111</v>
      </c>
      <c r="K12" s="7">
        <v>100.0</v>
      </c>
      <c r="L12" s="7" t="s">
        <v>15</v>
      </c>
      <c r="M12" s="7" t="s">
        <v>1054</v>
      </c>
      <c r="O12" s="7">
        <v>100.0</v>
      </c>
      <c r="P12" s="7" t="s">
        <v>15</v>
      </c>
      <c r="Q12" s="7" t="s">
        <v>1054</v>
      </c>
      <c r="S12" s="7">
        <v>100.0</v>
      </c>
      <c r="T12" s="7" t="s">
        <v>15</v>
      </c>
      <c r="U12" s="9">
        <f>MIN(C2:C1000)</f>
        <v>51.38</v>
      </c>
      <c r="V12" s="9">
        <f>MIN(G2:G1000)</f>
        <v>57.47</v>
      </c>
      <c r="W12" s="9">
        <f>MIN(K2:K1000)</f>
        <v>59.52</v>
      </c>
      <c r="X12" s="9">
        <f>MIN(O2:O1000)</f>
        <v>57.47</v>
      </c>
      <c r="Y12" s="9">
        <f>MIN(S2:S1000)</f>
        <v>57.47</v>
      </c>
      <c r="Z12" s="7" t="s">
        <v>24</v>
      </c>
    </row>
    <row r="13">
      <c r="A13" s="7" t="s">
        <v>1055</v>
      </c>
      <c r="B13" s="7">
        <v>0.063</v>
      </c>
      <c r="C13" s="7">
        <v>100.0</v>
      </c>
      <c r="D13" s="7" t="s">
        <v>15</v>
      </c>
      <c r="E13" s="7" t="s">
        <v>1056</v>
      </c>
      <c r="F13" s="7">
        <v>2.00277</v>
      </c>
      <c r="G13" s="7">
        <v>100.0</v>
      </c>
      <c r="H13" s="7" t="s">
        <v>15</v>
      </c>
      <c r="I13" s="7" t="s">
        <v>1056</v>
      </c>
      <c r="J13" s="7">
        <v>1.78711</v>
      </c>
      <c r="K13" s="7">
        <v>100.0</v>
      </c>
      <c r="L13" s="7" t="s">
        <v>15</v>
      </c>
      <c r="M13" s="7" t="s">
        <v>1056</v>
      </c>
      <c r="O13" s="7">
        <v>100.0</v>
      </c>
      <c r="P13" s="7" t="s">
        <v>15</v>
      </c>
      <c r="Q13" s="7" t="s">
        <v>1056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1057</v>
      </c>
      <c r="B14" s="7">
        <v>0.06582</v>
      </c>
      <c r="C14" s="7">
        <v>100.0</v>
      </c>
      <c r="D14" s="7" t="s">
        <v>15</v>
      </c>
      <c r="E14" s="7" t="s">
        <v>1058</v>
      </c>
      <c r="F14" s="7">
        <v>1.92754</v>
      </c>
      <c r="G14" s="7">
        <v>94.34</v>
      </c>
      <c r="H14" s="7" t="s">
        <v>26</v>
      </c>
      <c r="I14" s="7" t="s">
        <v>1058</v>
      </c>
      <c r="J14" s="7">
        <v>2.30401</v>
      </c>
      <c r="K14" s="7">
        <v>94.34</v>
      </c>
      <c r="L14" s="7" t="s">
        <v>26</v>
      </c>
      <c r="M14" s="7" t="s">
        <v>1058</v>
      </c>
      <c r="O14" s="7">
        <v>94.34</v>
      </c>
      <c r="P14" s="7" t="s">
        <v>26</v>
      </c>
      <c r="Q14" s="7" t="s">
        <v>1058</v>
      </c>
      <c r="S14" s="7">
        <v>94.34</v>
      </c>
      <c r="T14" s="7" t="s">
        <v>26</v>
      </c>
      <c r="U14" s="8">
        <f t="shared" ref="U14:Y14" si="1">U15/(U15+U16+U17)</f>
        <v>0.3333333333</v>
      </c>
      <c r="V14" s="8">
        <f t="shared" si="1"/>
        <v>0.3333333333</v>
      </c>
      <c r="W14" s="8">
        <f t="shared" si="1"/>
        <v>0.380952381</v>
      </c>
      <c r="X14" s="8">
        <f t="shared" si="1"/>
        <v>0.3333333333</v>
      </c>
      <c r="Y14" s="8">
        <f t="shared" si="1"/>
        <v>0.380952381</v>
      </c>
      <c r="Z14" s="7" t="s">
        <v>44</v>
      </c>
    </row>
    <row r="15">
      <c r="A15" s="7" t="s">
        <v>1059</v>
      </c>
      <c r="B15" s="7">
        <v>0.09376</v>
      </c>
      <c r="C15" s="7">
        <v>100.0</v>
      </c>
      <c r="D15" s="7" t="s">
        <v>15</v>
      </c>
      <c r="E15" s="7" t="s">
        <v>1060</v>
      </c>
      <c r="F15" s="7">
        <v>1.9268</v>
      </c>
      <c r="G15" s="7">
        <v>93.33</v>
      </c>
      <c r="H15" s="7" t="s">
        <v>26</v>
      </c>
      <c r="I15" s="7" t="s">
        <v>1060</v>
      </c>
      <c r="J15" s="7">
        <v>2.01576</v>
      </c>
      <c r="K15" s="7">
        <v>93.33</v>
      </c>
      <c r="L15" s="7" t="s">
        <v>26</v>
      </c>
      <c r="M15" s="7" t="s">
        <v>1060</v>
      </c>
      <c r="O15" s="7">
        <v>93.33</v>
      </c>
      <c r="P15" s="7" t="s">
        <v>26</v>
      </c>
      <c r="Q15" s="7" t="s">
        <v>1060</v>
      </c>
      <c r="S15" s="7">
        <v>93.33</v>
      </c>
      <c r="T15" s="7" t="s">
        <v>26</v>
      </c>
      <c r="U15" s="10">
        <f>COUNTIF(D2:D1000,"VALID")</f>
        <v>7</v>
      </c>
      <c r="V15" s="10">
        <f>COUNTIF(H2:H1000,"VALID")</f>
        <v>7</v>
      </c>
      <c r="W15" s="10">
        <f>COUNTIF(L2:L1000,"VALID")</f>
        <v>8</v>
      </c>
      <c r="X15" s="10">
        <f>COUNTIF(P2:P1000,"VALID")</f>
        <v>7</v>
      </c>
      <c r="Y15" s="10">
        <f>COUNTIF(T2:T1000,"VALID")</f>
        <v>8</v>
      </c>
      <c r="Z15" s="7" t="s">
        <v>47</v>
      </c>
    </row>
    <row r="16">
      <c r="A16" s="7" t="s">
        <v>1061</v>
      </c>
      <c r="B16" s="7">
        <v>0.09651</v>
      </c>
      <c r="C16" s="7">
        <v>68.42</v>
      </c>
      <c r="D16" s="7" t="s">
        <v>99</v>
      </c>
      <c r="E16" s="7" t="s">
        <v>1062</v>
      </c>
      <c r="F16" s="7">
        <v>1.72151</v>
      </c>
      <c r="G16" s="7">
        <v>64.29</v>
      </c>
      <c r="H16" s="7" t="s">
        <v>26</v>
      </c>
      <c r="I16" s="7" t="s">
        <v>1062</v>
      </c>
      <c r="J16" s="7">
        <v>3.08498</v>
      </c>
      <c r="K16" s="7">
        <v>64.29</v>
      </c>
      <c r="L16" s="7" t="s">
        <v>26</v>
      </c>
      <c r="M16" s="7" t="s">
        <v>1062</v>
      </c>
      <c r="O16" s="7">
        <v>64.29</v>
      </c>
      <c r="P16" s="7" t="s">
        <v>26</v>
      </c>
      <c r="Q16" s="7" t="s">
        <v>1062</v>
      </c>
      <c r="S16" s="7">
        <v>64.29</v>
      </c>
      <c r="T16" s="7" t="s">
        <v>26</v>
      </c>
      <c r="U16" s="10">
        <f>COUNTIF(D2:D1000,"INVALID")</f>
        <v>12</v>
      </c>
      <c r="V16" s="10">
        <f>COUNTIF(H2:H1000,"INVALID")</f>
        <v>14</v>
      </c>
      <c r="W16" s="10">
        <f>COUNTIF(L2:L1000,"INVALID")</f>
        <v>13</v>
      </c>
      <c r="X16" s="10">
        <f>COUNTIF(P2:P1000,"INVALID")</f>
        <v>14</v>
      </c>
      <c r="Y16" s="10">
        <f>COUNTIF(T2:T1000,"INVALID")</f>
        <v>13</v>
      </c>
      <c r="Z16" s="7" t="s">
        <v>50</v>
      </c>
    </row>
    <row r="17">
      <c r="A17" s="7" t="s">
        <v>1063</v>
      </c>
      <c r="B17" s="7">
        <v>0.10831</v>
      </c>
      <c r="C17" s="7">
        <v>77.42</v>
      </c>
      <c r="D17" s="7" t="s">
        <v>99</v>
      </c>
      <c r="E17" s="7" t="s">
        <v>1064</v>
      </c>
      <c r="F17" s="7">
        <v>2.10569</v>
      </c>
      <c r="G17" s="7">
        <v>57.47</v>
      </c>
      <c r="H17" s="7" t="s">
        <v>26</v>
      </c>
      <c r="I17" s="7" t="s">
        <v>1065</v>
      </c>
      <c r="J17" s="7">
        <v>1.87842</v>
      </c>
      <c r="K17" s="7">
        <v>59.52</v>
      </c>
      <c r="L17" s="7" t="s">
        <v>26</v>
      </c>
      <c r="M17" s="7" t="s">
        <v>1064</v>
      </c>
      <c r="O17" s="7">
        <v>57.47</v>
      </c>
      <c r="P17" s="7" t="s">
        <v>26</v>
      </c>
      <c r="Q17" s="7" t="s">
        <v>1064</v>
      </c>
      <c r="S17" s="7">
        <v>57.47</v>
      </c>
      <c r="T17" s="7" t="s">
        <v>26</v>
      </c>
      <c r="U17" s="10">
        <f>COUNTIF(D2:D1000,"ERROR")</f>
        <v>2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1066</v>
      </c>
      <c r="B18" s="7">
        <v>0.05564</v>
      </c>
      <c r="C18" s="7">
        <v>70.83</v>
      </c>
      <c r="D18" s="7" t="s">
        <v>26</v>
      </c>
      <c r="E18" s="7" t="s">
        <v>1067</v>
      </c>
      <c r="F18" s="7">
        <v>2.07133</v>
      </c>
      <c r="G18" s="7">
        <v>68.0</v>
      </c>
      <c r="H18" s="7" t="s">
        <v>26</v>
      </c>
      <c r="I18" s="7" t="s">
        <v>1067</v>
      </c>
      <c r="J18" s="7">
        <v>2.6149</v>
      </c>
      <c r="K18" s="7">
        <v>68.0</v>
      </c>
      <c r="L18" s="7" t="s">
        <v>26</v>
      </c>
      <c r="M18" s="7" t="s">
        <v>1068</v>
      </c>
      <c r="O18" s="7">
        <v>84.71</v>
      </c>
      <c r="P18" s="7" t="s">
        <v>26</v>
      </c>
      <c r="Q18" s="7" t="s">
        <v>1069</v>
      </c>
      <c r="S18" s="7">
        <v>80.0</v>
      </c>
      <c r="T18" s="7" t="s">
        <v>26</v>
      </c>
      <c r="U18" s="11">
        <f t="shared" ref="U18:Y18" si="2">U17/(U17+U16+U15)</f>
        <v>0.09523809524</v>
      </c>
      <c r="V18" s="11">
        <f t="shared" si="2"/>
        <v>0</v>
      </c>
      <c r="W18" s="11">
        <f t="shared" si="2"/>
        <v>0</v>
      </c>
      <c r="X18" s="11">
        <f t="shared" si="2"/>
        <v>0</v>
      </c>
      <c r="Y18" s="11">
        <f t="shared" si="2"/>
        <v>0</v>
      </c>
      <c r="Z18" s="17" t="s">
        <v>57</v>
      </c>
    </row>
    <row r="19">
      <c r="A19" s="7" t="s">
        <v>1070</v>
      </c>
      <c r="B19" s="7">
        <v>0.07013</v>
      </c>
      <c r="C19" s="7">
        <v>71.91</v>
      </c>
      <c r="D19" s="7" t="s">
        <v>26</v>
      </c>
      <c r="E19" s="7" t="s">
        <v>1071</v>
      </c>
      <c r="F19" s="7">
        <v>2.03656</v>
      </c>
      <c r="G19" s="7">
        <v>68.09</v>
      </c>
      <c r="H19" s="7" t="s">
        <v>26</v>
      </c>
      <c r="I19" s="7" t="s">
        <v>1072</v>
      </c>
      <c r="J19" s="7">
        <v>2.46504</v>
      </c>
      <c r="K19" s="7">
        <v>70.33</v>
      </c>
      <c r="L19" s="7" t="s">
        <v>26</v>
      </c>
      <c r="M19" s="7" t="s">
        <v>1073</v>
      </c>
      <c r="O19" s="7">
        <v>76.19</v>
      </c>
      <c r="P19" s="7" t="s">
        <v>26</v>
      </c>
      <c r="Q19" s="7" t="s">
        <v>1074</v>
      </c>
      <c r="S19" s="7">
        <v>76.19</v>
      </c>
      <c r="T19" s="7" t="s">
        <v>26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1075</v>
      </c>
      <c r="B20" s="7">
        <v>0.07408</v>
      </c>
      <c r="C20" s="7">
        <v>74.0</v>
      </c>
      <c r="D20" s="7" t="s">
        <v>26</v>
      </c>
      <c r="E20" s="7" t="s">
        <v>1076</v>
      </c>
      <c r="F20" s="7">
        <v>1.86431</v>
      </c>
      <c r="G20" s="7">
        <v>71.15</v>
      </c>
      <c r="H20" s="7" t="s">
        <v>26</v>
      </c>
      <c r="I20" s="7" t="s">
        <v>1077</v>
      </c>
      <c r="J20" s="7">
        <v>2.06125</v>
      </c>
      <c r="K20" s="7">
        <v>73.08</v>
      </c>
      <c r="L20" s="7" t="s">
        <v>26</v>
      </c>
      <c r="M20" s="7" t="s">
        <v>1078</v>
      </c>
      <c r="O20" s="7">
        <v>87.64</v>
      </c>
      <c r="P20" s="7" t="s">
        <v>26</v>
      </c>
      <c r="Q20" s="7" t="s">
        <v>1079</v>
      </c>
      <c r="S20" s="7">
        <v>83.15</v>
      </c>
      <c r="T20" s="7" t="s">
        <v>26</v>
      </c>
      <c r="U20" s="8">
        <f>COUNTIF(C2:C1000,100)/COUNTA(A2:A1000)</f>
        <v>0.3333333333</v>
      </c>
      <c r="V20" s="8">
        <f>COUNTIF(G2:G1000,100)/COUNTA(E2:E1000)</f>
        <v>0.3333333333</v>
      </c>
      <c r="W20" s="8">
        <f>COUNTIF(K2:K1000,100)/COUNTA(I2:I1000)</f>
        <v>0.380952381</v>
      </c>
      <c r="X20" s="8">
        <f>COUNTIF(O2:O1000,100)/COUNTA(M2:M1000)</f>
        <v>0.3333333333</v>
      </c>
      <c r="Y20" s="8">
        <f>COUNTIF(S2:S1000,100)/COUNTA(Q2:Q1000)</f>
        <v>0.380952381</v>
      </c>
      <c r="Z20" s="7" t="s">
        <v>63</v>
      </c>
    </row>
    <row r="21">
      <c r="A21" s="7" t="s">
        <v>1080</v>
      </c>
      <c r="B21" s="7">
        <v>0.19858</v>
      </c>
      <c r="C21" s="7">
        <v>72.73</v>
      </c>
      <c r="D21" s="7" t="s">
        <v>26</v>
      </c>
      <c r="E21" s="7" t="s">
        <v>1081</v>
      </c>
      <c r="F21" s="7">
        <v>2.03741</v>
      </c>
      <c r="G21" s="7">
        <v>70.89</v>
      </c>
      <c r="H21" s="7" t="s">
        <v>26</v>
      </c>
      <c r="I21" s="7" t="s">
        <v>1082</v>
      </c>
      <c r="J21" s="7">
        <v>2.23249</v>
      </c>
      <c r="K21" s="7">
        <v>70.89</v>
      </c>
      <c r="L21" s="7" t="s">
        <v>26</v>
      </c>
      <c r="M21" s="7" t="s">
        <v>1083</v>
      </c>
      <c r="O21" s="7">
        <v>84.06</v>
      </c>
      <c r="P21" s="7" t="s">
        <v>26</v>
      </c>
      <c r="Q21" s="7" t="s">
        <v>1084</v>
      </c>
      <c r="S21" s="7">
        <v>81.16</v>
      </c>
      <c r="T21" s="7" t="s">
        <v>26</v>
      </c>
      <c r="U21" s="10">
        <f>COUNTIF(C2:C1000,100)</f>
        <v>7</v>
      </c>
      <c r="V21" s="10">
        <f>COUNTIF(G2:G1000,100)</f>
        <v>7</v>
      </c>
      <c r="W21" s="10">
        <f>COUNTIF(K2:K1000,100)</f>
        <v>8</v>
      </c>
      <c r="X21" s="10">
        <f>COUNTIF(O2:O1000,100)</f>
        <v>7</v>
      </c>
      <c r="Y21" s="10">
        <f>COUNTIF(S2:S1000,100)</f>
        <v>8</v>
      </c>
      <c r="Z21" s="7" t="s">
        <v>65</v>
      </c>
    </row>
    <row r="22">
      <c r="A22" s="7" t="s">
        <v>1085</v>
      </c>
      <c r="B22" s="7">
        <v>0.09026</v>
      </c>
      <c r="C22" s="7">
        <v>67.24</v>
      </c>
      <c r="D22" s="7" t="s">
        <v>26</v>
      </c>
      <c r="E22" s="7" t="s">
        <v>1086</v>
      </c>
      <c r="F22" s="7">
        <v>2.49246</v>
      </c>
      <c r="G22" s="7">
        <v>70.09</v>
      </c>
      <c r="H22" s="7" t="s">
        <v>26</v>
      </c>
      <c r="I22" s="7" t="s">
        <v>1087</v>
      </c>
      <c r="J22" s="7">
        <v>2.29534</v>
      </c>
      <c r="K22" s="7">
        <v>86.27</v>
      </c>
      <c r="L22" s="7" t="s">
        <v>26</v>
      </c>
      <c r="M22" s="7" t="s">
        <v>1088</v>
      </c>
      <c r="O22" s="7">
        <v>76.19</v>
      </c>
      <c r="P22" s="7" t="s">
        <v>26</v>
      </c>
      <c r="Q22" s="7" t="s">
        <v>1089</v>
      </c>
      <c r="S22" s="7">
        <v>80.39</v>
      </c>
      <c r="T22" s="7" t="s">
        <v>26</v>
      </c>
      <c r="U22" s="10">
        <f>COUNTA(A2:A1000)-COUNTIF(C2:C1000,100)</f>
        <v>14</v>
      </c>
      <c r="V22" s="10">
        <f>COUNTA(E2:E1000)-COUNTIF(G2:G1000,100)</f>
        <v>14</v>
      </c>
      <c r="W22" s="10">
        <f>COUNTA(I2:I1000)-COUNTIF(K2:K1000,100)</f>
        <v>13</v>
      </c>
      <c r="X22" s="10">
        <f>COUNTA(M2:M1000)-COUNTIF(O2:O1000,100)</f>
        <v>14</v>
      </c>
      <c r="Y22" s="10">
        <f>COUNTA(Q2:Q1000)-COUNTIF(S2:S1000,100)</f>
        <v>13</v>
      </c>
      <c r="Z22" s="7" t="s">
        <v>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5"/>
    <col customWidth="1" min="4" max="5" width="27.25"/>
    <col customWidth="1" min="6" max="6" width="14.38"/>
    <col customWidth="1" min="9" max="9" width="27.25"/>
    <col customWidth="1" min="10" max="10" width="14.38"/>
    <col customWidth="1" min="12" max="12" width="27.25"/>
    <col customWidth="1" min="13" max="13" width="15.38"/>
    <col customWidth="1" min="14" max="14" width="14.38"/>
    <col customWidth="1" min="17" max="17" width="16.0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74</v>
      </c>
      <c r="B2" s="7">
        <v>0.06189</v>
      </c>
      <c r="C2" s="7">
        <v>100.0</v>
      </c>
      <c r="D2" s="7" t="s">
        <v>15</v>
      </c>
      <c r="E2" s="7" t="s">
        <v>74</v>
      </c>
      <c r="F2" s="7">
        <v>1.95973</v>
      </c>
      <c r="G2" s="7">
        <v>100.0</v>
      </c>
      <c r="H2" s="7" t="s">
        <v>15</v>
      </c>
      <c r="I2" s="7" t="s">
        <v>74</v>
      </c>
      <c r="J2" s="7">
        <v>1.81991</v>
      </c>
      <c r="K2" s="7">
        <v>100.0</v>
      </c>
      <c r="L2" s="7" t="s">
        <v>15</v>
      </c>
      <c r="M2" s="7" t="s">
        <v>74</v>
      </c>
      <c r="N2" s="7">
        <v>5.61577</v>
      </c>
      <c r="O2" s="7">
        <v>100.0</v>
      </c>
      <c r="P2" s="7" t="s">
        <v>15</v>
      </c>
      <c r="Q2" s="7" t="s">
        <v>74</v>
      </c>
      <c r="R2" s="7">
        <v>4.63194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1090</v>
      </c>
      <c r="B3" s="7">
        <v>0.06298</v>
      </c>
      <c r="C3" s="7">
        <v>100.0</v>
      </c>
      <c r="D3" s="7" t="s">
        <v>15</v>
      </c>
      <c r="E3" s="7" t="s">
        <v>1090</v>
      </c>
      <c r="F3" s="7">
        <v>1.66741</v>
      </c>
      <c r="G3" s="7">
        <v>100.0</v>
      </c>
      <c r="H3" s="7" t="s">
        <v>15</v>
      </c>
      <c r="I3" s="7" t="s">
        <v>1090</v>
      </c>
      <c r="J3" s="7">
        <v>1.6961</v>
      </c>
      <c r="K3" s="7">
        <v>100.0</v>
      </c>
      <c r="L3" s="7" t="s">
        <v>15</v>
      </c>
      <c r="M3" s="7" t="s">
        <v>1090</v>
      </c>
      <c r="O3" s="7">
        <v>100.0</v>
      </c>
      <c r="P3" s="7" t="s">
        <v>15</v>
      </c>
      <c r="Q3" s="7" t="s">
        <v>1090</v>
      </c>
      <c r="S3" s="7">
        <v>100.0</v>
      </c>
      <c r="T3" s="7" t="s">
        <v>15</v>
      </c>
      <c r="U3" s="8">
        <f>AVERAGE(B2:B1000)</f>
        <v>0.04423101266</v>
      </c>
      <c r="V3" s="8">
        <f>AVERAGE(F2:F1000)</f>
        <v>1.899240253</v>
      </c>
      <c r="W3" s="8">
        <f>AVERAGE(J2:J1000)</f>
        <v>1.792566962</v>
      </c>
      <c r="X3" s="8">
        <f>N2/COUNTA(M2:M1000)</f>
        <v>0.0710856962</v>
      </c>
      <c r="Y3" s="8">
        <f>R2/COUNTA(Q2:Q1000)</f>
        <v>0.0586321519</v>
      </c>
      <c r="Z3" s="7" t="s">
        <v>18</v>
      </c>
    </row>
    <row r="4">
      <c r="A4" s="7" t="s">
        <v>1091</v>
      </c>
      <c r="B4" s="7">
        <v>0.27044</v>
      </c>
      <c r="C4" s="7">
        <v>100.0</v>
      </c>
      <c r="D4" s="7" t="s">
        <v>15</v>
      </c>
      <c r="E4" s="7" t="s">
        <v>1091</v>
      </c>
      <c r="F4" s="7">
        <v>1.9082</v>
      </c>
      <c r="G4" s="7">
        <v>100.0</v>
      </c>
      <c r="H4" s="7" t="s">
        <v>15</v>
      </c>
      <c r="I4" s="7" t="s">
        <v>1091</v>
      </c>
      <c r="J4" s="7">
        <v>1.6329</v>
      </c>
      <c r="K4" s="7">
        <v>100.0</v>
      </c>
      <c r="L4" s="7" t="s">
        <v>15</v>
      </c>
      <c r="M4" s="7" t="s">
        <v>1091</v>
      </c>
      <c r="O4" s="7">
        <v>100.0</v>
      </c>
      <c r="P4" s="7" t="s">
        <v>15</v>
      </c>
      <c r="Q4" s="7" t="s">
        <v>1091</v>
      </c>
      <c r="S4" s="7">
        <v>100.0</v>
      </c>
      <c r="T4" s="7" t="s">
        <v>15</v>
      </c>
      <c r="U4" s="8">
        <f>STDEV(B2:B1000)</f>
        <v>0.02922231522</v>
      </c>
      <c r="V4" s="8">
        <f>STDEV(F2:F1000)</f>
        <v>0.4659020899</v>
      </c>
      <c r="W4" s="8">
        <f>STDEV(J2:J1000)</f>
        <v>0.2564119974</v>
      </c>
      <c r="X4" s="8"/>
      <c r="Y4" s="8"/>
      <c r="Z4" s="7" t="s">
        <v>20</v>
      </c>
    </row>
    <row r="5">
      <c r="A5" s="7" t="s">
        <v>1092</v>
      </c>
      <c r="B5" s="7">
        <v>0.06047</v>
      </c>
      <c r="C5" s="7">
        <v>100.0</v>
      </c>
      <c r="D5" s="7" t="s">
        <v>15</v>
      </c>
      <c r="E5" s="7" t="s">
        <v>1092</v>
      </c>
      <c r="F5" s="7">
        <v>2.27672</v>
      </c>
      <c r="G5" s="7">
        <v>100.0</v>
      </c>
      <c r="H5" s="7" t="s">
        <v>15</v>
      </c>
      <c r="I5" s="7" t="s">
        <v>1092</v>
      </c>
      <c r="J5" s="7">
        <v>1.64101</v>
      </c>
      <c r="K5" s="7">
        <v>100.0</v>
      </c>
      <c r="L5" s="7" t="s">
        <v>15</v>
      </c>
      <c r="M5" s="7" t="s">
        <v>1092</v>
      </c>
      <c r="O5" s="7">
        <v>100.0</v>
      </c>
      <c r="P5" s="7" t="s">
        <v>15</v>
      </c>
      <c r="Q5" s="7" t="s">
        <v>1092</v>
      </c>
      <c r="S5" s="7">
        <v>100.0</v>
      </c>
      <c r="T5" s="7" t="s">
        <v>15</v>
      </c>
      <c r="U5" s="8">
        <f>MAX(B2:B1000)</f>
        <v>0.27044</v>
      </c>
      <c r="V5" s="8">
        <f>MAX(F2:F1000)</f>
        <v>4.24588</v>
      </c>
      <c r="W5" s="8">
        <f>MAX(J2:J1000)</f>
        <v>2.87711</v>
      </c>
      <c r="X5" s="8"/>
      <c r="Y5" s="8"/>
      <c r="Z5" s="7" t="s">
        <v>22</v>
      </c>
    </row>
    <row r="6">
      <c r="A6" s="7" t="s">
        <v>1093</v>
      </c>
      <c r="B6" s="7">
        <v>0.02914</v>
      </c>
      <c r="C6" s="7">
        <v>100.0</v>
      </c>
      <c r="D6" s="7" t="s">
        <v>15</v>
      </c>
      <c r="E6" s="7" t="s">
        <v>1093</v>
      </c>
      <c r="F6" s="7">
        <v>1.98942</v>
      </c>
      <c r="G6" s="7">
        <v>100.0</v>
      </c>
      <c r="H6" s="7" t="s">
        <v>15</v>
      </c>
      <c r="I6" s="7" t="s">
        <v>1093</v>
      </c>
      <c r="J6" s="7">
        <v>2.19953</v>
      </c>
      <c r="K6" s="7">
        <v>100.0</v>
      </c>
      <c r="L6" s="7" t="s">
        <v>15</v>
      </c>
      <c r="M6" s="7" t="s">
        <v>1093</v>
      </c>
      <c r="O6" s="7">
        <v>100.0</v>
      </c>
      <c r="P6" s="7" t="s">
        <v>15</v>
      </c>
      <c r="Q6" s="7" t="s">
        <v>1093</v>
      </c>
      <c r="S6" s="7">
        <v>100.0</v>
      </c>
      <c r="T6" s="7" t="s">
        <v>15</v>
      </c>
      <c r="U6" s="8">
        <f>MIN(B2:B1000)</f>
        <v>0.02883</v>
      </c>
      <c r="V6" s="8">
        <f>MIN(F2:F1000)</f>
        <v>1.50299</v>
      </c>
      <c r="W6" s="8">
        <f>MIN(J2:J1000)</f>
        <v>1.54816</v>
      </c>
      <c r="X6" s="8"/>
      <c r="Y6" s="8"/>
      <c r="Z6" s="7" t="s">
        <v>24</v>
      </c>
    </row>
    <row r="7">
      <c r="A7" s="7" t="s">
        <v>76</v>
      </c>
      <c r="B7" s="7">
        <v>0.02998</v>
      </c>
      <c r="C7" s="7">
        <v>100.0</v>
      </c>
      <c r="D7" s="7" t="s">
        <v>15</v>
      </c>
      <c r="E7" s="7" t="s">
        <v>76</v>
      </c>
      <c r="F7" s="7">
        <v>1.80632</v>
      </c>
      <c r="G7" s="7">
        <v>100.0</v>
      </c>
      <c r="H7" s="7" t="s">
        <v>15</v>
      </c>
      <c r="I7" s="7" t="s">
        <v>76</v>
      </c>
      <c r="J7" s="7">
        <v>1.64697</v>
      </c>
      <c r="K7" s="7">
        <v>100.0</v>
      </c>
      <c r="L7" s="7" t="s">
        <v>15</v>
      </c>
      <c r="M7" s="7" t="s">
        <v>76</v>
      </c>
      <c r="O7" s="7">
        <v>100.0</v>
      </c>
      <c r="P7" s="7" t="s">
        <v>15</v>
      </c>
      <c r="Q7" s="7" t="s">
        <v>76</v>
      </c>
      <c r="S7" s="7">
        <v>100.0</v>
      </c>
      <c r="T7" s="7" t="s">
        <v>15</v>
      </c>
      <c r="U7" s="8">
        <f>SUM(B2:B1000)</f>
        <v>3.49425</v>
      </c>
      <c r="V7" s="8">
        <f>SUM(F2:F1000)</f>
        <v>150.03998</v>
      </c>
      <c r="W7" s="8">
        <f>SUM(J2:J1000)</f>
        <v>141.61279</v>
      </c>
      <c r="X7" s="8">
        <f>N2</f>
        <v>5.61577</v>
      </c>
      <c r="Y7" s="8">
        <f>R2</f>
        <v>4.63194</v>
      </c>
      <c r="Z7" s="7" t="s">
        <v>28</v>
      </c>
    </row>
    <row r="8">
      <c r="A8" s="7" t="s">
        <v>1094</v>
      </c>
      <c r="B8" s="7">
        <v>0.03259</v>
      </c>
      <c r="C8" s="7">
        <v>100.0</v>
      </c>
      <c r="D8" s="7" t="s">
        <v>15</v>
      </c>
      <c r="E8" s="7" t="s">
        <v>1094</v>
      </c>
      <c r="F8" s="7">
        <v>1.5673</v>
      </c>
      <c r="G8" s="7">
        <v>100.0</v>
      </c>
      <c r="H8" s="7" t="s">
        <v>15</v>
      </c>
      <c r="I8" s="7" t="s">
        <v>1094</v>
      </c>
      <c r="J8" s="7">
        <v>1.6795</v>
      </c>
      <c r="K8" s="7">
        <v>100.0</v>
      </c>
      <c r="L8" s="7" t="s">
        <v>15</v>
      </c>
      <c r="M8" s="7" t="s">
        <v>1094</v>
      </c>
      <c r="O8" s="7">
        <v>100.0</v>
      </c>
      <c r="P8" s="7" t="s">
        <v>15</v>
      </c>
      <c r="Q8" s="7" t="s">
        <v>1094</v>
      </c>
      <c r="S8" s="7">
        <v>100.0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1095</v>
      </c>
      <c r="B9" s="7">
        <v>0.06005</v>
      </c>
      <c r="C9" s="7">
        <v>100.0</v>
      </c>
      <c r="D9" s="7" t="s">
        <v>15</v>
      </c>
      <c r="E9" s="7" t="s">
        <v>1095</v>
      </c>
      <c r="F9" s="7">
        <v>1.6609</v>
      </c>
      <c r="G9" s="7">
        <v>100.0</v>
      </c>
      <c r="H9" s="7" t="s">
        <v>15</v>
      </c>
      <c r="I9" s="7" t="s">
        <v>1095</v>
      </c>
      <c r="J9" s="7">
        <v>1.60214</v>
      </c>
      <c r="K9" s="7">
        <v>100.0</v>
      </c>
      <c r="L9" s="7" t="s">
        <v>15</v>
      </c>
      <c r="M9" s="7" t="s">
        <v>1095</v>
      </c>
      <c r="O9" s="7">
        <v>100.0</v>
      </c>
      <c r="P9" s="7" t="s">
        <v>15</v>
      </c>
      <c r="Q9" s="7" t="s">
        <v>1095</v>
      </c>
      <c r="S9" s="7">
        <v>100.0</v>
      </c>
      <c r="T9" s="7" t="s">
        <v>15</v>
      </c>
      <c r="U9" s="9">
        <f>AVERAGE(C2:C1000)</f>
        <v>87.77987342</v>
      </c>
      <c r="V9" s="9">
        <f>AVERAGE(G2:G1000)</f>
        <v>89.67189873</v>
      </c>
      <c r="W9" s="9">
        <f>AVERAGE(K2:K1000)</f>
        <v>88.59189873</v>
      </c>
      <c r="X9" s="9">
        <f>AVERAGE(O2:O1000)</f>
        <v>88.86177215</v>
      </c>
      <c r="Y9" s="9">
        <f>AVERAGE(S2:S1000)</f>
        <v>89.90708861</v>
      </c>
      <c r="Z9" s="7" t="s">
        <v>18</v>
      </c>
    </row>
    <row r="10">
      <c r="A10" s="7" t="s">
        <v>1096</v>
      </c>
      <c r="B10" s="7">
        <v>0.05579</v>
      </c>
      <c r="C10" s="7">
        <v>100.0</v>
      </c>
      <c r="D10" s="7" t="s">
        <v>15</v>
      </c>
      <c r="E10" s="7" t="s">
        <v>1096</v>
      </c>
      <c r="F10" s="7">
        <v>1.66892</v>
      </c>
      <c r="G10" s="7">
        <v>100.0</v>
      </c>
      <c r="H10" s="7" t="s">
        <v>15</v>
      </c>
      <c r="I10" s="7" t="s">
        <v>1096</v>
      </c>
      <c r="J10" s="7">
        <v>1.67725</v>
      </c>
      <c r="K10" s="7">
        <v>100.0</v>
      </c>
      <c r="L10" s="7" t="s">
        <v>15</v>
      </c>
      <c r="M10" s="7" t="s">
        <v>1096</v>
      </c>
      <c r="O10" s="7">
        <v>100.0</v>
      </c>
      <c r="P10" s="7" t="s">
        <v>15</v>
      </c>
      <c r="Q10" s="7" t="s">
        <v>1096</v>
      </c>
      <c r="S10" s="7">
        <v>100.0</v>
      </c>
      <c r="T10" s="7" t="s">
        <v>15</v>
      </c>
      <c r="U10" s="9">
        <f>STDEV(C2:C1000)</f>
        <v>18.01835471</v>
      </c>
      <c r="V10" s="9">
        <f>STDEV(G2:G1000)</f>
        <v>16.81641766</v>
      </c>
      <c r="W10" s="9">
        <f>STDEV(K2:K1000)</f>
        <v>16.80830336</v>
      </c>
      <c r="X10" s="9">
        <f>STDEV(O2:O1000)</f>
        <v>16.75458129</v>
      </c>
      <c r="Y10" s="9">
        <f>STDEV(S2:S1000)</f>
        <v>16.95376164</v>
      </c>
      <c r="Z10" s="7" t="s">
        <v>20</v>
      </c>
    </row>
    <row r="11">
      <c r="A11" s="7" t="s">
        <v>1097</v>
      </c>
      <c r="B11" s="7">
        <v>0.05509</v>
      </c>
      <c r="C11" s="7">
        <v>100.0</v>
      </c>
      <c r="D11" s="7" t="s">
        <v>15</v>
      </c>
      <c r="E11" s="7" t="s">
        <v>1097</v>
      </c>
      <c r="F11" s="7">
        <v>2.3481</v>
      </c>
      <c r="G11" s="7">
        <v>100.0</v>
      </c>
      <c r="H11" s="7" t="s">
        <v>15</v>
      </c>
      <c r="I11" s="7" t="s">
        <v>1097</v>
      </c>
      <c r="J11" s="7">
        <v>1.54816</v>
      </c>
      <c r="K11" s="7">
        <v>100.0</v>
      </c>
      <c r="L11" s="7" t="s">
        <v>15</v>
      </c>
      <c r="M11" s="7" t="s">
        <v>1097</v>
      </c>
      <c r="O11" s="7">
        <v>100.0</v>
      </c>
      <c r="P11" s="7" t="s">
        <v>15</v>
      </c>
      <c r="Q11" s="7" t="s">
        <v>1097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1098</v>
      </c>
      <c r="B12" s="7">
        <v>0.06312</v>
      </c>
      <c r="C12" s="7">
        <v>26.67</v>
      </c>
      <c r="D12" s="7" t="s">
        <v>26</v>
      </c>
      <c r="E12" s="7" t="s">
        <v>1099</v>
      </c>
      <c r="F12" s="7">
        <v>2.085</v>
      </c>
      <c r="G12" s="7">
        <v>100.0</v>
      </c>
      <c r="H12" s="7" t="s">
        <v>15</v>
      </c>
      <c r="I12" s="7" t="s">
        <v>1099</v>
      </c>
      <c r="J12" s="7">
        <v>1.58513</v>
      </c>
      <c r="K12" s="7">
        <v>100.0</v>
      </c>
      <c r="L12" s="7" t="s">
        <v>15</v>
      </c>
      <c r="M12" s="7" t="s">
        <v>1099</v>
      </c>
      <c r="O12" s="7">
        <v>100.0</v>
      </c>
      <c r="P12" s="7" t="s">
        <v>15</v>
      </c>
      <c r="Q12" s="7" t="s">
        <v>1099</v>
      </c>
      <c r="S12" s="7">
        <v>100.0</v>
      </c>
      <c r="T12" s="7" t="s">
        <v>15</v>
      </c>
      <c r="U12" s="9">
        <f>MIN(C2:C1000)</f>
        <v>26.67</v>
      </c>
      <c r="V12" s="9">
        <f>MIN(G2:G1000)</f>
        <v>40</v>
      </c>
      <c r="W12" s="9">
        <f>MIN(K2:K1000)</f>
        <v>40</v>
      </c>
      <c r="X12" s="9">
        <f>MIN(O2:O1000)</f>
        <v>40</v>
      </c>
      <c r="Y12" s="9">
        <f>MIN(S2:S1000)</f>
        <v>40</v>
      </c>
      <c r="Z12" s="7" t="s">
        <v>24</v>
      </c>
    </row>
    <row r="13">
      <c r="A13" s="7" t="s">
        <v>1100</v>
      </c>
      <c r="B13" s="7">
        <v>0.05532</v>
      </c>
      <c r="C13" s="7">
        <v>100.0</v>
      </c>
      <c r="D13" s="7" t="s">
        <v>15</v>
      </c>
      <c r="E13" s="7" t="s">
        <v>1100</v>
      </c>
      <c r="F13" s="7">
        <v>1.72906</v>
      </c>
      <c r="G13" s="7">
        <v>100.0</v>
      </c>
      <c r="H13" s="7" t="s">
        <v>15</v>
      </c>
      <c r="I13" s="7" t="s">
        <v>1100</v>
      </c>
      <c r="J13" s="7">
        <v>1.67076</v>
      </c>
      <c r="K13" s="7">
        <v>100.0</v>
      </c>
      <c r="L13" s="7" t="s">
        <v>15</v>
      </c>
      <c r="M13" s="7" t="s">
        <v>1100</v>
      </c>
      <c r="O13" s="7">
        <v>100.0</v>
      </c>
      <c r="P13" s="7" t="s">
        <v>15</v>
      </c>
      <c r="Q13" s="7" t="s">
        <v>1100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1101</v>
      </c>
      <c r="B14" s="7">
        <v>0.06311</v>
      </c>
      <c r="C14" s="7">
        <v>100.0</v>
      </c>
      <c r="D14" s="7" t="s">
        <v>15</v>
      </c>
      <c r="E14" s="7" t="s">
        <v>1101</v>
      </c>
      <c r="F14" s="7">
        <v>2.13348</v>
      </c>
      <c r="G14" s="7">
        <v>100.0</v>
      </c>
      <c r="H14" s="7" t="s">
        <v>15</v>
      </c>
      <c r="I14" s="7" t="s">
        <v>1101</v>
      </c>
      <c r="J14" s="7">
        <v>1.69041</v>
      </c>
      <c r="K14" s="7">
        <v>100.0</v>
      </c>
      <c r="L14" s="7" t="s">
        <v>15</v>
      </c>
      <c r="M14" s="7" t="s">
        <v>1101</v>
      </c>
      <c r="O14" s="7">
        <v>100.0</v>
      </c>
      <c r="P14" s="7" t="s">
        <v>15</v>
      </c>
      <c r="Q14" s="7" t="s">
        <v>1101</v>
      </c>
      <c r="S14" s="7">
        <v>100.0</v>
      </c>
      <c r="T14" s="7" t="s">
        <v>15</v>
      </c>
      <c r="U14" s="8">
        <f t="shared" ref="U14:Y14" si="1">U15/(U15+U16+U17)</f>
        <v>0.6202531646</v>
      </c>
      <c r="V14" s="8">
        <f t="shared" si="1"/>
        <v>0.6962025316</v>
      </c>
      <c r="W14" s="8">
        <f t="shared" si="1"/>
        <v>0.6455696203</v>
      </c>
      <c r="X14" s="8">
        <f t="shared" si="1"/>
        <v>0.6455696203</v>
      </c>
      <c r="Y14" s="8">
        <f t="shared" si="1"/>
        <v>0.7215189873</v>
      </c>
      <c r="Z14" s="7" t="s">
        <v>44</v>
      </c>
    </row>
    <row r="15">
      <c r="A15" s="7" t="s">
        <v>1102</v>
      </c>
      <c r="B15" s="7">
        <v>0.09927</v>
      </c>
      <c r="C15" s="7">
        <v>100.0</v>
      </c>
      <c r="D15" s="7" t="s">
        <v>15</v>
      </c>
      <c r="E15" s="7" t="s">
        <v>1102</v>
      </c>
      <c r="F15" s="7">
        <v>1.81973</v>
      </c>
      <c r="G15" s="7">
        <v>100.0</v>
      </c>
      <c r="H15" s="7" t="s">
        <v>15</v>
      </c>
      <c r="I15" s="7" t="s">
        <v>1102</v>
      </c>
      <c r="J15" s="7">
        <v>1.74018</v>
      </c>
      <c r="K15" s="7">
        <v>100.0</v>
      </c>
      <c r="L15" s="7" t="s">
        <v>15</v>
      </c>
      <c r="M15" s="7" t="s">
        <v>1102</v>
      </c>
      <c r="O15" s="7">
        <v>100.0</v>
      </c>
      <c r="P15" s="7" t="s">
        <v>15</v>
      </c>
      <c r="Q15" s="7" t="s">
        <v>1102</v>
      </c>
      <c r="S15" s="7">
        <v>100.0</v>
      </c>
      <c r="T15" s="7" t="s">
        <v>15</v>
      </c>
      <c r="U15" s="10">
        <f>COUNTIF(D2:D1000,"VALID")</f>
        <v>49</v>
      </c>
      <c r="V15" s="10">
        <f>COUNTIF(H2:H1000,"VALID")</f>
        <v>55</v>
      </c>
      <c r="W15" s="10">
        <f>COUNTIF(L2:L1000,"VALID")</f>
        <v>51</v>
      </c>
      <c r="X15" s="10">
        <f>COUNTIF(P2:P1000,"VALID")</f>
        <v>51</v>
      </c>
      <c r="Y15" s="10">
        <f>COUNTIF(T2:T1000,"VALID")</f>
        <v>57</v>
      </c>
      <c r="Z15" s="7" t="s">
        <v>47</v>
      </c>
    </row>
    <row r="16">
      <c r="A16" s="7" t="s">
        <v>1103</v>
      </c>
      <c r="B16" s="7">
        <v>0.03531</v>
      </c>
      <c r="C16" s="7">
        <v>100.0</v>
      </c>
      <c r="D16" s="7" t="s">
        <v>15</v>
      </c>
      <c r="E16" s="7" t="s">
        <v>1103</v>
      </c>
      <c r="F16" s="7">
        <v>1.68382</v>
      </c>
      <c r="G16" s="7">
        <v>100.0</v>
      </c>
      <c r="H16" s="7" t="s">
        <v>15</v>
      </c>
      <c r="I16" s="7" t="s">
        <v>1103</v>
      </c>
      <c r="J16" s="7">
        <v>1.77659</v>
      </c>
      <c r="K16" s="7">
        <v>100.0</v>
      </c>
      <c r="L16" s="7" t="s">
        <v>15</v>
      </c>
      <c r="M16" s="7" t="s">
        <v>1103</v>
      </c>
      <c r="O16" s="7">
        <v>100.0</v>
      </c>
      <c r="P16" s="7" t="s">
        <v>15</v>
      </c>
      <c r="Q16" s="7" t="s">
        <v>1103</v>
      </c>
      <c r="S16" s="7">
        <v>100.0</v>
      </c>
      <c r="T16" s="7" t="s">
        <v>15</v>
      </c>
      <c r="U16" s="10">
        <f>COUNTIF(D2:D1000,"INVALID")</f>
        <v>30</v>
      </c>
      <c r="V16" s="10">
        <f>COUNTIF(H2:H1000,"INVALID")</f>
        <v>24</v>
      </c>
      <c r="W16" s="10">
        <f>COUNTIF(L2:L1000,"INVALID")</f>
        <v>27</v>
      </c>
      <c r="X16" s="10">
        <f>COUNTIF(P2:P1000,"INVALID")</f>
        <v>28</v>
      </c>
      <c r="Y16" s="10">
        <f>COUNTIF(T2:T1000,"INVALID")</f>
        <v>22</v>
      </c>
      <c r="Z16" s="7" t="s">
        <v>50</v>
      </c>
    </row>
    <row r="17">
      <c r="A17" s="7" t="s">
        <v>1104</v>
      </c>
      <c r="B17" s="7">
        <v>0.03265</v>
      </c>
      <c r="C17" s="7">
        <v>100.0</v>
      </c>
      <c r="D17" s="7" t="s">
        <v>15</v>
      </c>
      <c r="E17" s="7" t="s">
        <v>1104</v>
      </c>
      <c r="F17" s="7">
        <v>1.70701</v>
      </c>
      <c r="G17" s="7">
        <v>100.0</v>
      </c>
      <c r="H17" s="7" t="s">
        <v>15</v>
      </c>
      <c r="I17" s="7" t="s">
        <v>1104</v>
      </c>
      <c r="J17" s="7">
        <v>1.67366</v>
      </c>
      <c r="K17" s="7">
        <v>100.0</v>
      </c>
      <c r="L17" s="7" t="s">
        <v>15</v>
      </c>
      <c r="M17" s="7" t="s">
        <v>1104</v>
      </c>
      <c r="O17" s="7">
        <v>100.0</v>
      </c>
      <c r="P17" s="7" t="s">
        <v>15</v>
      </c>
      <c r="Q17" s="7" t="s">
        <v>1104</v>
      </c>
      <c r="S17" s="7">
        <v>100.0</v>
      </c>
      <c r="T17" s="7" t="s">
        <v>15</v>
      </c>
      <c r="U17" s="10">
        <f>COUNTIF(D2:D1000,"ERROR")</f>
        <v>0</v>
      </c>
      <c r="V17" s="10">
        <f>COUNTIF(H2:H1000,"ERROR")</f>
        <v>0</v>
      </c>
      <c r="W17" s="10">
        <f>COUNTIF(L2:L1000,"ERROR")</f>
        <v>1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1105</v>
      </c>
      <c r="B18" s="7">
        <v>0.0418</v>
      </c>
      <c r="C18" s="7">
        <v>100.0</v>
      </c>
      <c r="D18" s="7" t="s">
        <v>15</v>
      </c>
      <c r="E18" s="7" t="s">
        <v>1105</v>
      </c>
      <c r="F18" s="7">
        <v>1.69191</v>
      </c>
      <c r="G18" s="7">
        <v>100.0</v>
      </c>
      <c r="H18" s="7" t="s">
        <v>15</v>
      </c>
      <c r="I18" s="7" t="s">
        <v>1105</v>
      </c>
      <c r="J18" s="7">
        <v>1.77123</v>
      </c>
      <c r="K18" s="7">
        <v>100.0</v>
      </c>
      <c r="L18" s="7" t="s">
        <v>15</v>
      </c>
      <c r="M18" s="7" t="s">
        <v>1105</v>
      </c>
      <c r="O18" s="7">
        <v>100.0</v>
      </c>
      <c r="P18" s="7" t="s">
        <v>15</v>
      </c>
      <c r="Q18" s="7" t="s">
        <v>1105</v>
      </c>
      <c r="S18" s="7">
        <v>100.0</v>
      </c>
      <c r="T18" s="7" t="s">
        <v>15</v>
      </c>
      <c r="U18" s="11">
        <f t="shared" ref="U18:Y18" si="2">U17/(U17+U16+U15)</f>
        <v>0</v>
      </c>
      <c r="V18" s="11">
        <f t="shared" si="2"/>
        <v>0</v>
      </c>
      <c r="W18" s="11">
        <f t="shared" si="2"/>
        <v>0.01265822785</v>
      </c>
      <c r="X18" s="11">
        <f t="shared" si="2"/>
        <v>0</v>
      </c>
      <c r="Y18" s="11">
        <f t="shared" si="2"/>
        <v>0</v>
      </c>
      <c r="Z18" s="17" t="s">
        <v>57</v>
      </c>
    </row>
    <row r="19">
      <c r="A19" s="7" t="s">
        <v>1106</v>
      </c>
      <c r="B19" s="7">
        <v>0.03405</v>
      </c>
      <c r="C19" s="7">
        <v>100.0</v>
      </c>
      <c r="D19" s="7" t="s">
        <v>15</v>
      </c>
      <c r="E19" s="7" t="s">
        <v>1106</v>
      </c>
      <c r="F19" s="7">
        <v>1.58739</v>
      </c>
      <c r="G19" s="7">
        <v>100.0</v>
      </c>
      <c r="H19" s="7" t="s">
        <v>15</v>
      </c>
      <c r="I19" s="7" t="s">
        <v>1106</v>
      </c>
      <c r="J19" s="7">
        <v>1.71939</v>
      </c>
      <c r="K19" s="7">
        <v>100.0</v>
      </c>
      <c r="L19" s="7" t="s">
        <v>15</v>
      </c>
      <c r="M19" s="7" t="s">
        <v>1106</v>
      </c>
      <c r="O19" s="7">
        <v>100.0</v>
      </c>
      <c r="P19" s="7" t="s">
        <v>15</v>
      </c>
      <c r="Q19" s="7" t="s">
        <v>1106</v>
      </c>
      <c r="S19" s="7">
        <v>100.0</v>
      </c>
      <c r="T19" s="7" t="s">
        <v>15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1107</v>
      </c>
      <c r="B20" s="7">
        <v>0.03242</v>
      </c>
      <c r="C20" s="7">
        <v>100.0</v>
      </c>
      <c r="D20" s="7" t="s">
        <v>15</v>
      </c>
      <c r="E20" s="7" t="s">
        <v>1107</v>
      </c>
      <c r="F20" s="7">
        <v>1.52268</v>
      </c>
      <c r="G20" s="7">
        <v>100.0</v>
      </c>
      <c r="H20" s="7" t="s">
        <v>15</v>
      </c>
      <c r="I20" s="7" t="s">
        <v>1107</v>
      </c>
      <c r="J20" s="7">
        <v>1.5957</v>
      </c>
      <c r="K20" s="7">
        <v>100.0</v>
      </c>
      <c r="L20" s="7" t="s">
        <v>15</v>
      </c>
      <c r="M20" s="7" t="s">
        <v>1107</v>
      </c>
      <c r="O20" s="7">
        <v>100.0</v>
      </c>
      <c r="P20" s="7" t="s">
        <v>15</v>
      </c>
      <c r="Q20" s="7" t="s">
        <v>1107</v>
      </c>
      <c r="S20" s="7">
        <v>100.0</v>
      </c>
      <c r="T20" s="7" t="s">
        <v>15</v>
      </c>
      <c r="U20" s="8">
        <f>COUNTIF(C2:C1000,100)/COUNTA(A2:A1000)</f>
        <v>0.6202531646</v>
      </c>
      <c r="V20" s="8">
        <f>COUNTIF(G2:G1000,100)/COUNTA(E2:E1000)</f>
        <v>0.6962025316</v>
      </c>
      <c r="W20" s="8">
        <f>COUNTIF(K2:K1000,100)/COUNTA(I2:I1000)</f>
        <v>0.6455696203</v>
      </c>
      <c r="X20" s="8">
        <f>COUNTIF(O2:O1000,100)/COUNTA(M2:M1000)</f>
        <v>0.6455696203</v>
      </c>
      <c r="Y20" s="8">
        <f>COUNTIF(S2:S1000,100)/COUNTA(Q2:Q1000)</f>
        <v>0.7215189873</v>
      </c>
      <c r="Z20" s="7" t="s">
        <v>63</v>
      </c>
    </row>
    <row r="21">
      <c r="A21" s="7" t="s">
        <v>1108</v>
      </c>
      <c r="B21" s="7">
        <v>0.03929</v>
      </c>
      <c r="C21" s="7">
        <v>100.0</v>
      </c>
      <c r="D21" s="7" t="s">
        <v>15</v>
      </c>
      <c r="E21" s="7" t="s">
        <v>1108</v>
      </c>
      <c r="F21" s="7">
        <v>2.53937</v>
      </c>
      <c r="G21" s="7">
        <v>100.0</v>
      </c>
      <c r="H21" s="7" t="s">
        <v>15</v>
      </c>
      <c r="I21" s="7" t="s">
        <v>1108</v>
      </c>
      <c r="J21" s="7">
        <v>1.69985</v>
      </c>
      <c r="K21" s="7">
        <v>100.0</v>
      </c>
      <c r="L21" s="7" t="s">
        <v>15</v>
      </c>
      <c r="M21" s="7" t="s">
        <v>1108</v>
      </c>
      <c r="O21" s="7">
        <v>100.0</v>
      </c>
      <c r="P21" s="7" t="s">
        <v>15</v>
      </c>
      <c r="Q21" s="7" t="s">
        <v>1108</v>
      </c>
      <c r="S21" s="7">
        <v>100.0</v>
      </c>
      <c r="T21" s="7" t="s">
        <v>15</v>
      </c>
      <c r="U21" s="10">
        <f>COUNTIF(C2:C1000,100)</f>
        <v>49</v>
      </c>
      <c r="V21" s="10">
        <f>COUNTIF(G2:G1000,100)</f>
        <v>55</v>
      </c>
      <c r="W21" s="10">
        <f>COUNTIF(K2:K1000,100)</f>
        <v>51</v>
      </c>
      <c r="X21" s="10">
        <f>COUNTIF(O2:O1000,100)</f>
        <v>51</v>
      </c>
      <c r="Y21" s="10">
        <f>COUNTIF(S2:S1000,100)</f>
        <v>57</v>
      </c>
      <c r="Z21" s="7" t="s">
        <v>65</v>
      </c>
    </row>
    <row r="22">
      <c r="A22" s="7" t="s">
        <v>1109</v>
      </c>
      <c r="B22" s="7">
        <v>0.0687</v>
      </c>
      <c r="C22" s="7">
        <v>100.0</v>
      </c>
      <c r="D22" s="7" t="s">
        <v>15</v>
      </c>
      <c r="E22" s="7" t="s">
        <v>1109</v>
      </c>
      <c r="F22" s="7">
        <v>2.1306</v>
      </c>
      <c r="G22" s="7">
        <v>100.0</v>
      </c>
      <c r="H22" s="7" t="s">
        <v>15</v>
      </c>
      <c r="I22" s="7" t="s">
        <v>1109</v>
      </c>
      <c r="J22" s="7">
        <v>1.80024</v>
      </c>
      <c r="K22" s="7">
        <v>100.0</v>
      </c>
      <c r="L22" s="7" t="s">
        <v>15</v>
      </c>
      <c r="M22" s="7" t="s">
        <v>1109</v>
      </c>
      <c r="O22" s="7">
        <v>100.0</v>
      </c>
      <c r="P22" s="7" t="s">
        <v>15</v>
      </c>
      <c r="Q22" s="7" t="s">
        <v>1109</v>
      </c>
      <c r="S22" s="7">
        <v>100.0</v>
      </c>
      <c r="T22" s="7" t="s">
        <v>15</v>
      </c>
      <c r="U22" s="10">
        <f>COUNTA(A2:A1000)-COUNTIF(C2:C1000,100)</f>
        <v>30</v>
      </c>
      <c r="V22" s="10">
        <f>COUNTA(E2:E1000)-COUNTIF(G2:G1000,100)</f>
        <v>24</v>
      </c>
      <c r="W22" s="10">
        <f>COUNTA(I2:I1000)-COUNTIF(K2:K1000,100)</f>
        <v>28</v>
      </c>
      <c r="X22" s="10">
        <f>COUNTA(M2:M1000)-COUNTIF(O2:O1000,100)</f>
        <v>28</v>
      </c>
      <c r="Y22" s="10">
        <f>COUNTA(Q2:Q1000)-COUNTIF(S2:S1000,100)</f>
        <v>22</v>
      </c>
      <c r="Z22" s="7" t="s">
        <v>69</v>
      </c>
    </row>
    <row r="23">
      <c r="A23" s="7" t="s">
        <v>1110</v>
      </c>
      <c r="B23" s="7">
        <v>0.05075</v>
      </c>
      <c r="C23" s="7">
        <v>100.0</v>
      </c>
      <c r="D23" s="7" t="s">
        <v>15</v>
      </c>
      <c r="E23" s="7" t="s">
        <v>1110</v>
      </c>
      <c r="F23" s="7">
        <v>2.44307</v>
      </c>
      <c r="G23" s="7">
        <v>100.0</v>
      </c>
      <c r="H23" s="7" t="s">
        <v>15</v>
      </c>
      <c r="I23" s="7" t="s">
        <v>1110</v>
      </c>
      <c r="J23" s="7">
        <v>1.7178</v>
      </c>
      <c r="K23" s="7">
        <v>100.0</v>
      </c>
      <c r="L23" s="7" t="s">
        <v>15</v>
      </c>
      <c r="M23" s="7" t="s">
        <v>1110</v>
      </c>
      <c r="O23" s="7">
        <v>100.0</v>
      </c>
      <c r="P23" s="7" t="s">
        <v>15</v>
      </c>
      <c r="Q23" s="7" t="s">
        <v>1110</v>
      </c>
      <c r="S23" s="7">
        <v>100.0</v>
      </c>
      <c r="T23" s="7" t="s">
        <v>15</v>
      </c>
    </row>
    <row r="24">
      <c r="A24" s="7" t="s">
        <v>1111</v>
      </c>
      <c r="B24" s="7">
        <v>0.03324</v>
      </c>
      <c r="C24" s="7">
        <v>77.78</v>
      </c>
      <c r="D24" s="7" t="s">
        <v>26</v>
      </c>
      <c r="E24" s="7" t="s">
        <v>1112</v>
      </c>
      <c r="F24" s="7">
        <v>2.09661</v>
      </c>
      <c r="G24" s="7">
        <v>100.0</v>
      </c>
      <c r="H24" s="7" t="s">
        <v>15</v>
      </c>
      <c r="I24" s="7" t="s">
        <v>1112</v>
      </c>
      <c r="J24" s="7">
        <v>1.60727</v>
      </c>
      <c r="K24" s="7">
        <v>100.0</v>
      </c>
      <c r="L24" s="7" t="s">
        <v>15</v>
      </c>
      <c r="M24" s="7" t="s">
        <v>1112</v>
      </c>
      <c r="O24" s="7">
        <v>100.0</v>
      </c>
      <c r="P24" s="7" t="s">
        <v>15</v>
      </c>
      <c r="Q24" s="7" t="s">
        <v>1112</v>
      </c>
      <c r="S24" s="7">
        <v>100.0</v>
      </c>
      <c r="T24" s="7" t="s">
        <v>15</v>
      </c>
    </row>
    <row r="25">
      <c r="A25" s="7" t="s">
        <v>1113</v>
      </c>
      <c r="B25" s="7">
        <v>0.03019</v>
      </c>
      <c r="C25" s="7">
        <v>81.82</v>
      </c>
      <c r="D25" s="7" t="s">
        <v>26</v>
      </c>
      <c r="E25" s="7" t="s">
        <v>1114</v>
      </c>
      <c r="F25" s="7">
        <v>1.766</v>
      </c>
      <c r="G25" s="7">
        <v>100.0</v>
      </c>
      <c r="H25" s="7" t="s">
        <v>15</v>
      </c>
      <c r="I25" s="7" t="s">
        <v>1114</v>
      </c>
      <c r="J25" s="7">
        <v>1.58271</v>
      </c>
      <c r="K25" s="7">
        <v>100.0</v>
      </c>
      <c r="L25" s="7" t="s">
        <v>15</v>
      </c>
      <c r="M25" s="7" t="s">
        <v>1114</v>
      </c>
      <c r="O25" s="7">
        <v>100.0</v>
      </c>
      <c r="P25" s="7" t="s">
        <v>15</v>
      </c>
      <c r="Q25" s="7" t="s">
        <v>1114</v>
      </c>
      <c r="S25" s="7">
        <v>100.0</v>
      </c>
      <c r="T25" s="7" t="s">
        <v>15</v>
      </c>
    </row>
    <row r="26">
      <c r="A26" s="7" t="s">
        <v>1115</v>
      </c>
      <c r="B26" s="7">
        <v>0.03178</v>
      </c>
      <c r="C26" s="7">
        <v>100.0</v>
      </c>
      <c r="D26" s="7" t="s">
        <v>15</v>
      </c>
      <c r="E26" s="7" t="s">
        <v>1115</v>
      </c>
      <c r="F26" s="7">
        <v>1.73074</v>
      </c>
      <c r="G26" s="7">
        <v>100.0</v>
      </c>
      <c r="H26" s="7" t="s">
        <v>15</v>
      </c>
      <c r="I26" s="7" t="s">
        <v>1116</v>
      </c>
      <c r="J26" s="7">
        <v>1.71688</v>
      </c>
      <c r="K26" s="7">
        <v>75.0</v>
      </c>
      <c r="L26" s="7" t="s">
        <v>26</v>
      </c>
      <c r="M26" s="7" t="s">
        <v>1115</v>
      </c>
      <c r="O26" s="7">
        <v>100.0</v>
      </c>
      <c r="P26" s="7" t="s">
        <v>15</v>
      </c>
      <c r="Q26" s="7" t="s">
        <v>1115</v>
      </c>
      <c r="S26" s="7">
        <v>100.0</v>
      </c>
      <c r="T26" s="7" t="s">
        <v>15</v>
      </c>
    </row>
    <row r="27">
      <c r="A27" s="7" t="s">
        <v>1117</v>
      </c>
      <c r="B27" s="7">
        <v>0.03413</v>
      </c>
      <c r="C27" s="7">
        <v>100.0</v>
      </c>
      <c r="D27" s="7" t="s">
        <v>15</v>
      </c>
      <c r="E27" s="7" t="s">
        <v>1117</v>
      </c>
      <c r="F27" s="7">
        <v>4.24588</v>
      </c>
      <c r="G27" s="7">
        <v>100.0</v>
      </c>
      <c r="H27" s="7" t="s">
        <v>15</v>
      </c>
      <c r="I27" s="7" t="s">
        <v>1117</v>
      </c>
      <c r="J27" s="7">
        <v>1.82223</v>
      </c>
      <c r="K27" s="7">
        <v>100.0</v>
      </c>
      <c r="L27" s="7" t="s">
        <v>15</v>
      </c>
      <c r="M27" s="7" t="s">
        <v>1117</v>
      </c>
      <c r="O27" s="7">
        <v>100.0</v>
      </c>
      <c r="P27" s="7" t="s">
        <v>15</v>
      </c>
      <c r="Q27" s="7" t="s">
        <v>1117</v>
      </c>
      <c r="S27" s="7">
        <v>100.0</v>
      </c>
      <c r="T27" s="7" t="s">
        <v>15</v>
      </c>
    </row>
    <row r="28">
      <c r="A28" s="7" t="s">
        <v>1118</v>
      </c>
      <c r="B28" s="7">
        <v>0.0306</v>
      </c>
      <c r="C28" s="7">
        <v>100.0</v>
      </c>
      <c r="D28" s="7" t="s">
        <v>15</v>
      </c>
      <c r="E28" s="7" t="s">
        <v>1118</v>
      </c>
      <c r="F28" s="7">
        <v>1.85166</v>
      </c>
      <c r="G28" s="7">
        <v>100.0</v>
      </c>
      <c r="H28" s="7" t="s">
        <v>15</v>
      </c>
      <c r="I28" s="7" t="s">
        <v>1118</v>
      </c>
      <c r="J28" s="7">
        <v>1.86829</v>
      </c>
      <c r="K28" s="7">
        <v>100.0</v>
      </c>
      <c r="L28" s="7" t="s">
        <v>15</v>
      </c>
      <c r="M28" s="7" t="s">
        <v>1118</v>
      </c>
      <c r="O28" s="7">
        <v>100.0</v>
      </c>
      <c r="P28" s="7" t="s">
        <v>15</v>
      </c>
      <c r="Q28" s="7" t="s">
        <v>1118</v>
      </c>
      <c r="S28" s="7">
        <v>100.0</v>
      </c>
      <c r="T28" s="7" t="s">
        <v>15</v>
      </c>
    </row>
    <row r="29">
      <c r="A29" s="7" t="s">
        <v>1119</v>
      </c>
      <c r="B29" s="7">
        <v>0.02883</v>
      </c>
      <c r="C29" s="7">
        <v>100.0</v>
      </c>
      <c r="D29" s="7" t="s">
        <v>15</v>
      </c>
      <c r="E29" s="7" t="s">
        <v>1119</v>
      </c>
      <c r="F29" s="7">
        <v>2.05606</v>
      </c>
      <c r="G29" s="7">
        <v>100.0</v>
      </c>
      <c r="H29" s="7" t="s">
        <v>15</v>
      </c>
      <c r="I29" s="7" t="s">
        <v>1119</v>
      </c>
      <c r="J29" s="7">
        <v>2.05851</v>
      </c>
      <c r="K29" s="7">
        <v>100.0</v>
      </c>
      <c r="L29" s="7" t="s">
        <v>15</v>
      </c>
      <c r="M29" s="7" t="s">
        <v>1119</v>
      </c>
      <c r="O29" s="7">
        <v>100.0</v>
      </c>
      <c r="P29" s="7" t="s">
        <v>15</v>
      </c>
      <c r="Q29" s="7" t="s">
        <v>1119</v>
      </c>
      <c r="S29" s="7">
        <v>100.0</v>
      </c>
      <c r="T29" s="7" t="s">
        <v>15</v>
      </c>
    </row>
    <row r="30">
      <c r="A30" s="7" t="s">
        <v>1120</v>
      </c>
      <c r="B30" s="7">
        <v>0.03723</v>
      </c>
      <c r="C30" s="7">
        <v>100.0</v>
      </c>
      <c r="D30" s="7" t="s">
        <v>15</v>
      </c>
      <c r="E30" s="7" t="s">
        <v>1120</v>
      </c>
      <c r="F30" s="7">
        <v>1.82822</v>
      </c>
      <c r="G30" s="7">
        <v>100.0</v>
      </c>
      <c r="H30" s="7" t="s">
        <v>15</v>
      </c>
      <c r="I30" s="7" t="s">
        <v>1121</v>
      </c>
      <c r="J30" s="7">
        <v>1.90191</v>
      </c>
      <c r="K30" s="7">
        <v>80.0</v>
      </c>
      <c r="L30" s="7" t="s">
        <v>26</v>
      </c>
      <c r="M30" s="7" t="s">
        <v>1120</v>
      </c>
      <c r="O30" s="7">
        <v>100.0</v>
      </c>
      <c r="P30" s="7" t="s">
        <v>15</v>
      </c>
      <c r="Q30" s="7" t="s">
        <v>1120</v>
      </c>
      <c r="S30" s="7">
        <v>100.0</v>
      </c>
      <c r="T30" s="7" t="s">
        <v>15</v>
      </c>
    </row>
    <row r="31">
      <c r="A31" s="7" t="s">
        <v>1122</v>
      </c>
      <c r="B31" s="7">
        <v>0.03089</v>
      </c>
      <c r="C31" s="7">
        <v>100.0</v>
      </c>
      <c r="D31" s="7" t="s">
        <v>15</v>
      </c>
      <c r="E31" s="7" t="s">
        <v>1122</v>
      </c>
      <c r="F31" s="7">
        <v>1.9296</v>
      </c>
      <c r="G31" s="7">
        <v>100.0</v>
      </c>
      <c r="H31" s="7" t="s">
        <v>15</v>
      </c>
      <c r="I31" s="7" t="s">
        <v>1122</v>
      </c>
      <c r="J31" s="7">
        <v>1.71399</v>
      </c>
      <c r="K31" s="7">
        <v>100.0</v>
      </c>
      <c r="L31" s="7" t="s">
        <v>15</v>
      </c>
      <c r="M31" s="7" t="s">
        <v>1122</v>
      </c>
      <c r="O31" s="7">
        <v>100.0</v>
      </c>
      <c r="P31" s="7" t="s">
        <v>15</v>
      </c>
      <c r="Q31" s="7" t="s">
        <v>1122</v>
      </c>
      <c r="S31" s="7">
        <v>100.0</v>
      </c>
      <c r="T31" s="7" t="s">
        <v>15</v>
      </c>
    </row>
    <row r="32">
      <c r="A32" s="7" t="s">
        <v>1123</v>
      </c>
      <c r="B32" s="7">
        <v>0.03065</v>
      </c>
      <c r="C32" s="7">
        <v>100.0</v>
      </c>
      <c r="D32" s="7" t="s">
        <v>15</v>
      </c>
      <c r="E32" s="7" t="s">
        <v>1123</v>
      </c>
      <c r="F32" s="7">
        <v>1.88768</v>
      </c>
      <c r="G32" s="7">
        <v>100.0</v>
      </c>
      <c r="H32" s="7" t="s">
        <v>15</v>
      </c>
      <c r="I32" s="7" t="s">
        <v>1123</v>
      </c>
      <c r="J32" s="7">
        <v>1.8187</v>
      </c>
      <c r="K32" s="7">
        <v>100.0</v>
      </c>
      <c r="L32" s="7" t="s">
        <v>15</v>
      </c>
      <c r="M32" s="7" t="s">
        <v>1123</v>
      </c>
      <c r="O32" s="7">
        <v>100.0</v>
      </c>
      <c r="P32" s="7" t="s">
        <v>15</v>
      </c>
      <c r="Q32" s="7" t="s">
        <v>1123</v>
      </c>
      <c r="S32" s="7">
        <v>100.0</v>
      </c>
      <c r="T32" s="7" t="s">
        <v>15</v>
      </c>
    </row>
    <row r="33">
      <c r="A33" s="7" t="s">
        <v>1124</v>
      </c>
      <c r="B33" s="7">
        <v>0.03269</v>
      </c>
      <c r="C33" s="7">
        <v>100.0</v>
      </c>
      <c r="D33" s="7" t="s">
        <v>15</v>
      </c>
      <c r="E33" s="7" t="s">
        <v>1124</v>
      </c>
      <c r="F33" s="7">
        <v>1.82468</v>
      </c>
      <c r="G33" s="7">
        <v>100.0</v>
      </c>
      <c r="H33" s="7" t="s">
        <v>15</v>
      </c>
      <c r="I33" s="7" t="s">
        <v>1124</v>
      </c>
      <c r="J33" s="7">
        <v>1.87467</v>
      </c>
      <c r="K33" s="7">
        <v>100.0</v>
      </c>
      <c r="L33" s="7" t="s">
        <v>15</v>
      </c>
      <c r="M33" s="7" t="s">
        <v>1124</v>
      </c>
      <c r="O33" s="7">
        <v>100.0</v>
      </c>
      <c r="P33" s="7" t="s">
        <v>15</v>
      </c>
      <c r="Q33" s="7" t="s">
        <v>1124</v>
      </c>
      <c r="S33" s="7">
        <v>100.0</v>
      </c>
      <c r="T33" s="7" t="s">
        <v>15</v>
      </c>
    </row>
    <row r="34">
      <c r="A34" s="7" t="s">
        <v>1125</v>
      </c>
      <c r="B34" s="7">
        <v>0.03466</v>
      </c>
      <c r="C34" s="7">
        <v>100.0</v>
      </c>
      <c r="D34" s="7" t="s">
        <v>15</v>
      </c>
      <c r="E34" s="7" t="s">
        <v>1125</v>
      </c>
      <c r="F34" s="7">
        <v>1.98835</v>
      </c>
      <c r="G34" s="7">
        <v>100.0</v>
      </c>
      <c r="H34" s="7" t="s">
        <v>15</v>
      </c>
      <c r="I34" s="7" t="s">
        <v>1126</v>
      </c>
      <c r="J34" s="7">
        <v>1.55433</v>
      </c>
      <c r="K34" s="7">
        <v>80.0</v>
      </c>
      <c r="L34" s="7" t="s">
        <v>26</v>
      </c>
      <c r="M34" s="7" t="s">
        <v>1125</v>
      </c>
      <c r="O34" s="7">
        <v>100.0</v>
      </c>
      <c r="P34" s="7" t="s">
        <v>15</v>
      </c>
      <c r="Q34" s="7" t="s">
        <v>1125</v>
      </c>
      <c r="S34" s="7">
        <v>100.0</v>
      </c>
      <c r="T34" s="7" t="s">
        <v>15</v>
      </c>
    </row>
    <row r="35">
      <c r="A35" s="7" t="s">
        <v>1127</v>
      </c>
      <c r="B35" s="7">
        <v>0.02982</v>
      </c>
      <c r="C35" s="7">
        <v>100.0</v>
      </c>
      <c r="D35" s="7" t="s">
        <v>15</v>
      </c>
      <c r="E35" s="7" t="s">
        <v>1127</v>
      </c>
      <c r="F35" s="7">
        <v>2.88447</v>
      </c>
      <c r="G35" s="7">
        <v>100.0</v>
      </c>
      <c r="H35" s="7" t="s">
        <v>15</v>
      </c>
      <c r="I35" s="7" t="s">
        <v>1127</v>
      </c>
      <c r="J35" s="7">
        <v>1.93188</v>
      </c>
      <c r="K35" s="7">
        <v>100.0</v>
      </c>
      <c r="L35" s="7" t="s">
        <v>15</v>
      </c>
      <c r="M35" s="7" t="s">
        <v>1127</v>
      </c>
      <c r="O35" s="7">
        <v>100.0</v>
      </c>
      <c r="P35" s="7" t="s">
        <v>15</v>
      </c>
      <c r="Q35" s="7" t="s">
        <v>1127</v>
      </c>
      <c r="S35" s="7">
        <v>100.0</v>
      </c>
      <c r="T35" s="7" t="s">
        <v>15</v>
      </c>
    </row>
    <row r="36">
      <c r="A36" s="7" t="s">
        <v>1128</v>
      </c>
      <c r="B36" s="7">
        <v>0.03225</v>
      </c>
      <c r="C36" s="7">
        <v>64.0</v>
      </c>
      <c r="D36" s="7" t="s">
        <v>26</v>
      </c>
      <c r="E36" s="7" t="s">
        <v>1129</v>
      </c>
      <c r="F36" s="7">
        <v>1.77762</v>
      </c>
      <c r="G36" s="7">
        <v>64.0</v>
      </c>
      <c r="H36" s="7" t="s">
        <v>26</v>
      </c>
      <c r="I36" s="7" t="s">
        <v>1129</v>
      </c>
      <c r="J36" s="7">
        <v>1.7957</v>
      </c>
      <c r="K36" s="7">
        <v>64.0</v>
      </c>
      <c r="L36" s="7" t="s">
        <v>26</v>
      </c>
      <c r="M36" s="7" t="s">
        <v>1129</v>
      </c>
      <c r="O36" s="7">
        <v>64.0</v>
      </c>
      <c r="P36" s="7" t="s">
        <v>26</v>
      </c>
      <c r="Q36" s="7" t="s">
        <v>1129</v>
      </c>
      <c r="S36" s="7">
        <v>64.0</v>
      </c>
      <c r="T36" s="7" t="s">
        <v>26</v>
      </c>
    </row>
    <row r="37">
      <c r="A37" s="7" t="s">
        <v>1130</v>
      </c>
      <c r="B37" s="7">
        <v>0.03038</v>
      </c>
      <c r="C37" s="7">
        <v>64.0</v>
      </c>
      <c r="D37" s="7" t="s">
        <v>26</v>
      </c>
      <c r="E37" s="7" t="s">
        <v>1131</v>
      </c>
      <c r="F37" s="7">
        <v>2.37675</v>
      </c>
      <c r="G37" s="7">
        <v>64.0</v>
      </c>
      <c r="H37" s="7" t="s">
        <v>26</v>
      </c>
      <c r="I37" s="7" t="s">
        <v>1131</v>
      </c>
      <c r="J37" s="7">
        <v>1.55959</v>
      </c>
      <c r="K37" s="7">
        <v>64.0</v>
      </c>
      <c r="L37" s="7" t="s">
        <v>26</v>
      </c>
      <c r="M37" s="7" t="s">
        <v>1131</v>
      </c>
      <c r="O37" s="7">
        <v>64.0</v>
      </c>
      <c r="P37" s="7" t="s">
        <v>26</v>
      </c>
      <c r="Q37" s="7" t="s">
        <v>1131</v>
      </c>
      <c r="S37" s="7">
        <v>64.0</v>
      </c>
      <c r="T37" s="7" t="s">
        <v>26</v>
      </c>
    </row>
    <row r="38">
      <c r="A38" s="7" t="s">
        <v>1132</v>
      </c>
      <c r="B38" s="7">
        <v>0.03119</v>
      </c>
      <c r="C38" s="7">
        <v>64.0</v>
      </c>
      <c r="D38" s="7" t="s">
        <v>26</v>
      </c>
      <c r="E38" s="7" t="s">
        <v>1133</v>
      </c>
      <c r="F38" s="7">
        <v>1.83338</v>
      </c>
      <c r="G38" s="7">
        <v>64.0</v>
      </c>
      <c r="H38" s="7" t="s">
        <v>26</v>
      </c>
      <c r="I38" s="7" t="s">
        <v>1133</v>
      </c>
      <c r="J38" s="7">
        <v>1.55714</v>
      </c>
      <c r="K38" s="7">
        <v>64.0</v>
      </c>
      <c r="L38" s="7" t="s">
        <v>26</v>
      </c>
      <c r="M38" s="7" t="s">
        <v>1133</v>
      </c>
      <c r="O38" s="7">
        <v>64.0</v>
      </c>
      <c r="P38" s="7" t="s">
        <v>26</v>
      </c>
      <c r="Q38" s="7" t="s">
        <v>1133</v>
      </c>
      <c r="S38" s="7">
        <v>64.0</v>
      </c>
      <c r="T38" s="7" t="s">
        <v>26</v>
      </c>
    </row>
    <row r="39">
      <c r="A39" s="7" t="s">
        <v>1134</v>
      </c>
      <c r="B39" s="7">
        <v>0.04126</v>
      </c>
      <c r="C39" s="7">
        <v>64.0</v>
      </c>
      <c r="D39" s="7" t="s">
        <v>26</v>
      </c>
      <c r="E39" s="7" t="s">
        <v>1135</v>
      </c>
      <c r="F39" s="7">
        <v>3.15611</v>
      </c>
      <c r="G39" s="7">
        <v>64.0</v>
      </c>
      <c r="H39" s="7" t="s">
        <v>26</v>
      </c>
      <c r="I39" s="7" t="s">
        <v>1135</v>
      </c>
      <c r="J39" s="7">
        <v>1.69113</v>
      </c>
      <c r="K39" s="7">
        <v>64.0</v>
      </c>
      <c r="L39" s="7" t="s">
        <v>26</v>
      </c>
      <c r="M39" s="7" t="s">
        <v>1135</v>
      </c>
      <c r="O39" s="7">
        <v>64.0</v>
      </c>
      <c r="P39" s="7" t="s">
        <v>26</v>
      </c>
      <c r="Q39" s="7" t="s">
        <v>1135</v>
      </c>
      <c r="S39" s="7">
        <v>64.0</v>
      </c>
      <c r="T39" s="7" t="s">
        <v>26</v>
      </c>
    </row>
    <row r="40">
      <c r="A40" s="7" t="s">
        <v>1136</v>
      </c>
      <c r="B40" s="7">
        <v>0.03454</v>
      </c>
      <c r="C40" s="7">
        <v>66.67</v>
      </c>
      <c r="D40" s="7" t="s">
        <v>26</v>
      </c>
      <c r="E40" s="7" t="s">
        <v>1137</v>
      </c>
      <c r="F40" s="7">
        <v>1.82658</v>
      </c>
      <c r="G40" s="7">
        <v>66.67</v>
      </c>
      <c r="H40" s="7" t="s">
        <v>26</v>
      </c>
      <c r="I40" s="7" t="s">
        <v>1137</v>
      </c>
      <c r="J40" s="7">
        <v>1.81766</v>
      </c>
      <c r="K40" s="7">
        <v>66.67</v>
      </c>
      <c r="L40" s="7" t="s">
        <v>26</v>
      </c>
      <c r="M40" s="7" t="s">
        <v>1137</v>
      </c>
      <c r="O40" s="7">
        <v>66.67</v>
      </c>
      <c r="P40" s="7" t="s">
        <v>26</v>
      </c>
      <c r="Q40" s="7" t="s">
        <v>1137</v>
      </c>
      <c r="S40" s="7">
        <v>66.67</v>
      </c>
      <c r="T40" s="7" t="s">
        <v>26</v>
      </c>
    </row>
    <row r="41">
      <c r="A41" s="7" t="s">
        <v>1138</v>
      </c>
      <c r="B41" s="7">
        <v>0.03442</v>
      </c>
      <c r="C41" s="7">
        <v>60.87</v>
      </c>
      <c r="D41" s="7" t="s">
        <v>26</v>
      </c>
      <c r="E41" s="7" t="s">
        <v>1139</v>
      </c>
      <c r="F41" s="7">
        <v>2.13973</v>
      </c>
      <c r="G41" s="7">
        <v>60.87</v>
      </c>
      <c r="H41" s="7" t="s">
        <v>26</v>
      </c>
      <c r="I41" s="7" t="s">
        <v>1139</v>
      </c>
      <c r="J41" s="7">
        <v>1.72686</v>
      </c>
      <c r="K41" s="7">
        <v>60.87</v>
      </c>
      <c r="L41" s="7" t="s">
        <v>26</v>
      </c>
      <c r="M41" s="7" t="s">
        <v>1139</v>
      </c>
      <c r="O41" s="7">
        <v>60.87</v>
      </c>
      <c r="P41" s="7" t="s">
        <v>26</v>
      </c>
      <c r="Q41" s="7" t="s">
        <v>1139</v>
      </c>
      <c r="S41" s="7">
        <v>60.87</v>
      </c>
      <c r="T41" s="7" t="s">
        <v>26</v>
      </c>
    </row>
    <row r="42">
      <c r="A42" s="7" t="s">
        <v>1140</v>
      </c>
      <c r="B42" s="7">
        <v>0.03112</v>
      </c>
      <c r="C42" s="7">
        <v>64.0</v>
      </c>
      <c r="D42" s="7" t="s">
        <v>26</v>
      </c>
      <c r="E42" s="7" t="s">
        <v>1141</v>
      </c>
      <c r="F42" s="7">
        <v>1.66308</v>
      </c>
      <c r="G42" s="7">
        <v>64.0</v>
      </c>
      <c r="H42" s="7" t="s">
        <v>26</v>
      </c>
      <c r="I42" s="7" t="s">
        <v>1141</v>
      </c>
      <c r="J42" s="7">
        <v>1.95083</v>
      </c>
      <c r="K42" s="7">
        <v>64.0</v>
      </c>
      <c r="L42" s="7" t="s">
        <v>26</v>
      </c>
      <c r="M42" s="7" t="s">
        <v>1141</v>
      </c>
      <c r="O42" s="7">
        <v>64.0</v>
      </c>
      <c r="P42" s="7" t="s">
        <v>26</v>
      </c>
      <c r="Q42" s="7" t="s">
        <v>1141</v>
      </c>
      <c r="S42" s="7">
        <v>64.0</v>
      </c>
      <c r="T42" s="7" t="s">
        <v>26</v>
      </c>
    </row>
    <row r="43">
      <c r="A43" s="7" t="s">
        <v>1142</v>
      </c>
      <c r="B43" s="7">
        <v>0.06272</v>
      </c>
      <c r="C43" s="7">
        <v>66.67</v>
      </c>
      <c r="D43" s="7" t="s">
        <v>26</v>
      </c>
      <c r="E43" s="7" t="s">
        <v>1143</v>
      </c>
      <c r="F43" s="7">
        <v>1.92877</v>
      </c>
      <c r="G43" s="7">
        <v>66.67</v>
      </c>
      <c r="H43" s="7" t="s">
        <v>26</v>
      </c>
      <c r="I43" s="7" t="s">
        <v>1143</v>
      </c>
      <c r="J43" s="7">
        <v>1.90273</v>
      </c>
      <c r="K43" s="7">
        <v>66.67</v>
      </c>
      <c r="L43" s="7" t="s">
        <v>26</v>
      </c>
      <c r="M43" s="7" t="s">
        <v>1143</v>
      </c>
      <c r="O43" s="7">
        <v>66.67</v>
      </c>
      <c r="P43" s="7" t="s">
        <v>26</v>
      </c>
      <c r="Q43" s="7" t="s">
        <v>1143</v>
      </c>
      <c r="S43" s="7">
        <v>66.67</v>
      </c>
      <c r="T43" s="7" t="s">
        <v>26</v>
      </c>
    </row>
    <row r="44">
      <c r="A44" s="7" t="s">
        <v>1144</v>
      </c>
      <c r="B44" s="7">
        <v>0.03171</v>
      </c>
      <c r="C44" s="7">
        <v>64.0</v>
      </c>
      <c r="D44" s="7" t="s">
        <v>26</v>
      </c>
      <c r="E44" s="7" t="s">
        <v>1145</v>
      </c>
      <c r="F44" s="7">
        <v>1.89209</v>
      </c>
      <c r="G44" s="7">
        <v>64.0</v>
      </c>
      <c r="H44" s="7" t="s">
        <v>26</v>
      </c>
      <c r="I44" s="7" t="s">
        <v>1145</v>
      </c>
      <c r="J44" s="7">
        <v>1.78003</v>
      </c>
      <c r="K44" s="7">
        <v>64.0</v>
      </c>
      <c r="L44" s="7" t="s">
        <v>26</v>
      </c>
      <c r="M44" s="7" t="s">
        <v>1145</v>
      </c>
      <c r="O44" s="7">
        <v>64.0</v>
      </c>
      <c r="P44" s="7" t="s">
        <v>26</v>
      </c>
      <c r="Q44" s="7" t="s">
        <v>1145</v>
      </c>
      <c r="S44" s="7">
        <v>64.0</v>
      </c>
      <c r="T44" s="7" t="s">
        <v>26</v>
      </c>
    </row>
    <row r="45">
      <c r="A45" s="7" t="s">
        <v>1146</v>
      </c>
      <c r="B45" s="7">
        <v>0.03325</v>
      </c>
      <c r="C45" s="7">
        <v>64.0</v>
      </c>
      <c r="D45" s="7" t="s">
        <v>26</v>
      </c>
      <c r="E45" s="7" t="s">
        <v>1147</v>
      </c>
      <c r="F45" s="7">
        <v>1.74978</v>
      </c>
      <c r="G45" s="7">
        <v>64.0</v>
      </c>
      <c r="H45" s="7" t="s">
        <v>26</v>
      </c>
      <c r="I45" s="7" t="s">
        <v>1147</v>
      </c>
      <c r="J45" s="7">
        <v>2.21153</v>
      </c>
      <c r="K45" s="7">
        <v>64.0</v>
      </c>
      <c r="L45" s="7" t="s">
        <v>26</v>
      </c>
      <c r="M45" s="7" t="s">
        <v>1147</v>
      </c>
      <c r="O45" s="7">
        <v>64.0</v>
      </c>
      <c r="P45" s="7" t="s">
        <v>26</v>
      </c>
      <c r="Q45" s="7" t="s">
        <v>1147</v>
      </c>
      <c r="S45" s="7">
        <v>64.0</v>
      </c>
      <c r="T45" s="7" t="s">
        <v>26</v>
      </c>
    </row>
    <row r="46">
      <c r="A46" s="7" t="s">
        <v>1148</v>
      </c>
      <c r="B46" s="7">
        <v>0.03555</v>
      </c>
      <c r="C46" s="7">
        <v>66.67</v>
      </c>
      <c r="D46" s="7" t="s">
        <v>26</v>
      </c>
      <c r="E46" s="7" t="s">
        <v>1149</v>
      </c>
      <c r="F46" s="7">
        <v>1.80138</v>
      </c>
      <c r="G46" s="7">
        <v>66.67</v>
      </c>
      <c r="H46" s="7" t="s">
        <v>26</v>
      </c>
      <c r="I46" s="7" t="s">
        <v>1149</v>
      </c>
      <c r="J46" s="7">
        <v>1.73967</v>
      </c>
      <c r="K46" s="7">
        <v>66.67</v>
      </c>
      <c r="L46" s="7" t="s">
        <v>26</v>
      </c>
      <c r="M46" s="7" t="s">
        <v>1149</v>
      </c>
      <c r="O46" s="7">
        <v>66.67</v>
      </c>
      <c r="P46" s="7" t="s">
        <v>26</v>
      </c>
      <c r="Q46" s="7" t="s">
        <v>1149</v>
      </c>
      <c r="S46" s="7">
        <v>66.67</v>
      </c>
      <c r="T46" s="7" t="s">
        <v>26</v>
      </c>
    </row>
    <row r="47">
      <c r="A47" s="7" t="s">
        <v>1150</v>
      </c>
      <c r="B47" s="7">
        <v>0.05261</v>
      </c>
      <c r="C47" s="7">
        <v>66.67</v>
      </c>
      <c r="D47" s="7" t="s">
        <v>26</v>
      </c>
      <c r="E47" s="7" t="s">
        <v>1151</v>
      </c>
      <c r="F47" s="7">
        <v>1.67937</v>
      </c>
      <c r="G47" s="7">
        <v>66.67</v>
      </c>
      <c r="H47" s="7" t="s">
        <v>26</v>
      </c>
      <c r="I47" s="7" t="s">
        <v>1151</v>
      </c>
      <c r="J47" s="7">
        <v>1.71846</v>
      </c>
      <c r="K47" s="7">
        <v>66.67</v>
      </c>
      <c r="L47" s="7" t="s">
        <v>26</v>
      </c>
      <c r="M47" s="7" t="s">
        <v>1151</v>
      </c>
      <c r="O47" s="7">
        <v>66.67</v>
      </c>
      <c r="P47" s="7" t="s">
        <v>26</v>
      </c>
      <c r="Q47" s="7" t="s">
        <v>1151</v>
      </c>
      <c r="S47" s="7">
        <v>66.67</v>
      </c>
      <c r="T47" s="7" t="s">
        <v>26</v>
      </c>
    </row>
    <row r="48">
      <c r="A48" s="7" t="s">
        <v>1152</v>
      </c>
      <c r="B48" s="7">
        <v>0.05784</v>
      </c>
      <c r="C48" s="7">
        <v>66.67</v>
      </c>
      <c r="D48" s="7" t="s">
        <v>26</v>
      </c>
      <c r="E48" s="7" t="s">
        <v>1153</v>
      </c>
      <c r="F48" s="7">
        <v>1.66622</v>
      </c>
      <c r="G48" s="7">
        <v>66.67</v>
      </c>
      <c r="H48" s="7" t="s">
        <v>26</v>
      </c>
      <c r="I48" s="7" t="s">
        <v>1153</v>
      </c>
      <c r="J48" s="7">
        <v>1.7288</v>
      </c>
      <c r="K48" s="7">
        <v>66.67</v>
      </c>
      <c r="L48" s="7" t="s">
        <v>26</v>
      </c>
      <c r="M48" s="7" t="s">
        <v>1153</v>
      </c>
      <c r="O48" s="7">
        <v>66.67</v>
      </c>
      <c r="P48" s="7" t="s">
        <v>26</v>
      </c>
      <c r="Q48" s="7" t="s">
        <v>1153</v>
      </c>
      <c r="S48" s="7">
        <v>66.67</v>
      </c>
      <c r="T48" s="7" t="s">
        <v>26</v>
      </c>
    </row>
    <row r="49">
      <c r="A49" s="7" t="s">
        <v>1154</v>
      </c>
      <c r="B49" s="7">
        <v>0.05153</v>
      </c>
      <c r="C49" s="7">
        <v>66.67</v>
      </c>
      <c r="D49" s="7" t="s">
        <v>26</v>
      </c>
      <c r="E49" s="7" t="s">
        <v>1155</v>
      </c>
      <c r="F49" s="7">
        <v>1.72305</v>
      </c>
      <c r="G49" s="7">
        <v>66.67</v>
      </c>
      <c r="H49" s="7" t="s">
        <v>26</v>
      </c>
      <c r="I49" s="7" t="s">
        <v>1156</v>
      </c>
      <c r="J49" s="7">
        <v>1.73258</v>
      </c>
      <c r="K49" s="7">
        <v>85.71</v>
      </c>
      <c r="L49" s="7" t="s">
        <v>26</v>
      </c>
      <c r="M49" s="7" t="s">
        <v>1155</v>
      </c>
      <c r="O49" s="7">
        <v>66.67</v>
      </c>
      <c r="P49" s="7" t="s">
        <v>26</v>
      </c>
      <c r="Q49" s="7" t="s">
        <v>1155</v>
      </c>
      <c r="S49" s="7">
        <v>66.67</v>
      </c>
      <c r="T49" s="7" t="s">
        <v>26</v>
      </c>
    </row>
    <row r="50">
      <c r="A50" s="7" t="s">
        <v>1157</v>
      </c>
      <c r="B50" s="7">
        <v>0.0328</v>
      </c>
      <c r="C50" s="7">
        <v>68.97</v>
      </c>
      <c r="D50" s="7" t="s">
        <v>26</v>
      </c>
      <c r="E50" s="7" t="s">
        <v>1158</v>
      </c>
      <c r="F50" s="7">
        <v>1.74932</v>
      </c>
      <c r="G50" s="7">
        <v>68.97</v>
      </c>
      <c r="H50" s="7" t="s">
        <v>26</v>
      </c>
      <c r="I50" s="7" t="s">
        <v>1158</v>
      </c>
      <c r="J50" s="7">
        <v>1.85567</v>
      </c>
      <c r="K50" s="7">
        <v>68.97</v>
      </c>
      <c r="L50" s="7" t="s">
        <v>26</v>
      </c>
      <c r="M50" s="7" t="s">
        <v>1158</v>
      </c>
      <c r="O50" s="7">
        <v>68.97</v>
      </c>
      <c r="P50" s="7" t="s">
        <v>26</v>
      </c>
      <c r="Q50" s="7" t="s">
        <v>1158</v>
      </c>
      <c r="S50" s="7">
        <v>68.97</v>
      </c>
      <c r="T50" s="7" t="s">
        <v>26</v>
      </c>
    </row>
    <row r="51">
      <c r="A51" s="7" t="s">
        <v>1159</v>
      </c>
      <c r="B51" s="7">
        <v>0.03099</v>
      </c>
      <c r="C51" s="7">
        <v>64.0</v>
      </c>
      <c r="D51" s="7" t="s">
        <v>26</v>
      </c>
      <c r="E51" s="7" t="s">
        <v>1160</v>
      </c>
      <c r="F51" s="7">
        <v>1.73244</v>
      </c>
      <c r="G51" s="7">
        <v>64.0</v>
      </c>
      <c r="H51" s="7" t="s">
        <v>26</v>
      </c>
      <c r="I51" s="7" t="s">
        <v>1161</v>
      </c>
      <c r="J51" s="7">
        <v>1.57371</v>
      </c>
      <c r="K51" s="7">
        <v>84.21</v>
      </c>
      <c r="L51" s="7" t="s">
        <v>26</v>
      </c>
      <c r="M51" s="7" t="s">
        <v>1160</v>
      </c>
      <c r="O51" s="7">
        <v>64.0</v>
      </c>
      <c r="P51" s="7" t="s">
        <v>26</v>
      </c>
      <c r="Q51" s="7" t="s">
        <v>1160</v>
      </c>
      <c r="S51" s="7">
        <v>64.0</v>
      </c>
      <c r="T51" s="7" t="s">
        <v>26</v>
      </c>
    </row>
    <row r="52">
      <c r="A52" s="7" t="s">
        <v>1162</v>
      </c>
      <c r="B52" s="7">
        <v>0.02994</v>
      </c>
      <c r="C52" s="7">
        <v>60.87</v>
      </c>
      <c r="D52" s="7" t="s">
        <v>26</v>
      </c>
      <c r="E52" s="7" t="s">
        <v>1163</v>
      </c>
      <c r="F52" s="7">
        <v>1.65859</v>
      </c>
      <c r="G52" s="7">
        <v>60.87</v>
      </c>
      <c r="H52" s="7" t="s">
        <v>26</v>
      </c>
      <c r="I52" s="7" t="s">
        <v>1163</v>
      </c>
      <c r="J52" s="7">
        <v>1.56939</v>
      </c>
      <c r="K52" s="7">
        <v>60.87</v>
      </c>
      <c r="L52" s="7" t="s">
        <v>26</v>
      </c>
      <c r="M52" s="7" t="s">
        <v>1163</v>
      </c>
      <c r="O52" s="7">
        <v>60.87</v>
      </c>
      <c r="P52" s="7" t="s">
        <v>26</v>
      </c>
      <c r="Q52" s="7" t="s">
        <v>1163</v>
      </c>
      <c r="S52" s="7">
        <v>60.87</v>
      </c>
      <c r="T52" s="7" t="s">
        <v>26</v>
      </c>
    </row>
    <row r="53">
      <c r="A53" s="7" t="s">
        <v>1164</v>
      </c>
      <c r="B53" s="7">
        <v>0.03407</v>
      </c>
      <c r="C53" s="7">
        <v>66.67</v>
      </c>
      <c r="D53" s="7" t="s">
        <v>26</v>
      </c>
      <c r="E53" s="7" t="s">
        <v>1165</v>
      </c>
      <c r="F53" s="7">
        <v>1.81026</v>
      </c>
      <c r="G53" s="7">
        <v>66.67</v>
      </c>
      <c r="H53" s="7" t="s">
        <v>26</v>
      </c>
      <c r="I53" s="7" t="s">
        <v>1165</v>
      </c>
      <c r="J53" s="7">
        <v>1.73543</v>
      </c>
      <c r="K53" s="7">
        <v>66.67</v>
      </c>
      <c r="L53" s="7" t="s">
        <v>26</v>
      </c>
      <c r="M53" s="7" t="s">
        <v>1165</v>
      </c>
      <c r="O53" s="7">
        <v>66.67</v>
      </c>
      <c r="P53" s="7" t="s">
        <v>26</v>
      </c>
      <c r="Q53" s="7" t="s">
        <v>1165</v>
      </c>
      <c r="S53" s="7">
        <v>66.67</v>
      </c>
      <c r="T53" s="7" t="s">
        <v>26</v>
      </c>
    </row>
    <row r="54">
      <c r="A54" s="7" t="s">
        <v>1166</v>
      </c>
      <c r="B54" s="7">
        <v>0.03676</v>
      </c>
      <c r="C54" s="7">
        <v>84.21</v>
      </c>
      <c r="D54" s="7" t="s">
        <v>26</v>
      </c>
      <c r="E54" s="7" t="s">
        <v>1166</v>
      </c>
      <c r="F54" s="7">
        <v>1.51803</v>
      </c>
      <c r="G54" s="7">
        <v>84.21</v>
      </c>
      <c r="H54" s="7" t="s">
        <v>26</v>
      </c>
      <c r="I54" s="7" t="s">
        <v>1167</v>
      </c>
      <c r="J54" s="7">
        <v>1.78911</v>
      </c>
      <c r="K54" s="7">
        <v>100.0</v>
      </c>
      <c r="L54" s="7" t="s">
        <v>15</v>
      </c>
      <c r="M54" s="7" t="s">
        <v>1166</v>
      </c>
      <c r="O54" s="7">
        <v>84.21</v>
      </c>
      <c r="P54" s="7" t="s">
        <v>26</v>
      </c>
      <c r="Q54" s="7" t="s">
        <v>1167</v>
      </c>
      <c r="S54" s="7">
        <v>100.0</v>
      </c>
      <c r="T54" s="7" t="s">
        <v>15</v>
      </c>
    </row>
    <row r="55">
      <c r="A55" s="7" t="s">
        <v>1168</v>
      </c>
      <c r="B55" s="7">
        <v>0.03369</v>
      </c>
      <c r="C55" s="7">
        <v>88.0</v>
      </c>
      <c r="D55" s="7" t="s">
        <v>26</v>
      </c>
      <c r="E55" s="7" t="s">
        <v>1168</v>
      </c>
      <c r="F55" s="7">
        <v>1.54518</v>
      </c>
      <c r="G55" s="7">
        <v>88.0</v>
      </c>
      <c r="H55" s="7" t="s">
        <v>26</v>
      </c>
      <c r="I55" s="7" t="s">
        <v>1168</v>
      </c>
      <c r="J55" s="7">
        <v>1.72821</v>
      </c>
      <c r="K55" s="7">
        <v>88.0</v>
      </c>
      <c r="L55" s="7" t="s">
        <v>26</v>
      </c>
      <c r="M55" s="7" t="s">
        <v>1168</v>
      </c>
      <c r="O55" s="7">
        <v>88.0</v>
      </c>
      <c r="P55" s="7" t="s">
        <v>26</v>
      </c>
      <c r="Q55" s="7" t="s">
        <v>1169</v>
      </c>
      <c r="S55" s="7">
        <v>100.0</v>
      </c>
      <c r="T55" s="7" t="s">
        <v>15</v>
      </c>
    </row>
    <row r="56">
      <c r="A56" s="7" t="s">
        <v>1170</v>
      </c>
      <c r="B56" s="7">
        <v>0.03277</v>
      </c>
      <c r="C56" s="7">
        <v>89.66</v>
      </c>
      <c r="D56" s="7" t="s">
        <v>26</v>
      </c>
      <c r="E56" s="7" t="s">
        <v>1171</v>
      </c>
      <c r="F56" s="7">
        <v>1.6549</v>
      </c>
      <c r="G56" s="7">
        <v>100.0</v>
      </c>
      <c r="H56" s="7" t="s">
        <v>15</v>
      </c>
      <c r="I56" s="7" t="s">
        <v>1172</v>
      </c>
      <c r="J56" s="7">
        <v>1.93014</v>
      </c>
      <c r="K56" s="7">
        <v>68.29</v>
      </c>
      <c r="L56" s="7" t="s">
        <v>26</v>
      </c>
      <c r="M56" s="7" t="s">
        <v>1170</v>
      </c>
      <c r="O56" s="7">
        <v>89.66</v>
      </c>
      <c r="P56" s="7" t="s">
        <v>26</v>
      </c>
      <c r="Q56" s="7" t="s">
        <v>1171</v>
      </c>
      <c r="S56" s="7">
        <v>100.0</v>
      </c>
      <c r="T56" s="7" t="s">
        <v>15</v>
      </c>
    </row>
    <row r="57">
      <c r="A57" s="7" t="s">
        <v>1173</v>
      </c>
      <c r="B57" s="7">
        <v>0.03882</v>
      </c>
      <c r="C57" s="7">
        <v>88.89</v>
      </c>
      <c r="D57" s="7" t="s">
        <v>26</v>
      </c>
      <c r="E57" s="7" t="s">
        <v>1174</v>
      </c>
      <c r="F57" s="7">
        <v>1.69812</v>
      </c>
      <c r="G57" s="7">
        <v>100.0</v>
      </c>
      <c r="H57" s="7" t="s">
        <v>15</v>
      </c>
      <c r="I57" s="7" t="s">
        <v>1174</v>
      </c>
      <c r="J57" s="7">
        <v>1.78968</v>
      </c>
      <c r="K57" s="7">
        <v>100.0</v>
      </c>
      <c r="L57" s="7" t="s">
        <v>15</v>
      </c>
      <c r="M57" s="7" t="s">
        <v>1173</v>
      </c>
      <c r="O57" s="7">
        <v>88.89</v>
      </c>
      <c r="P57" s="7" t="s">
        <v>26</v>
      </c>
      <c r="Q57" s="7" t="s">
        <v>1174</v>
      </c>
      <c r="S57" s="7">
        <v>100.0</v>
      </c>
      <c r="T57" s="7" t="s">
        <v>15</v>
      </c>
    </row>
    <row r="58">
      <c r="A58" s="7" t="s">
        <v>1175</v>
      </c>
      <c r="B58" s="7">
        <v>0.03165</v>
      </c>
      <c r="C58" s="7">
        <v>85.71</v>
      </c>
      <c r="D58" s="7" t="s">
        <v>26</v>
      </c>
      <c r="E58" s="7" t="s">
        <v>1176</v>
      </c>
      <c r="F58" s="7">
        <v>1.74631</v>
      </c>
      <c r="G58" s="7">
        <v>100.0</v>
      </c>
      <c r="H58" s="7" t="s">
        <v>15</v>
      </c>
      <c r="I58" s="7" t="s">
        <v>1176</v>
      </c>
      <c r="J58" s="7">
        <v>1.77155</v>
      </c>
      <c r="K58" s="7">
        <v>100.0</v>
      </c>
      <c r="L58" s="7" t="s">
        <v>15</v>
      </c>
      <c r="M58" s="7" t="s">
        <v>1175</v>
      </c>
      <c r="O58" s="7">
        <v>85.71</v>
      </c>
      <c r="P58" s="7" t="s">
        <v>26</v>
      </c>
      <c r="Q58" s="7" t="s">
        <v>1176</v>
      </c>
      <c r="S58" s="7">
        <v>100.0</v>
      </c>
      <c r="T58" s="7" t="s">
        <v>15</v>
      </c>
    </row>
    <row r="59">
      <c r="A59" s="7" t="s">
        <v>1177</v>
      </c>
      <c r="B59" s="7">
        <v>0.03303</v>
      </c>
      <c r="C59" s="7">
        <v>84.21</v>
      </c>
      <c r="D59" s="7" t="s">
        <v>26</v>
      </c>
      <c r="E59" s="7" t="s">
        <v>1177</v>
      </c>
      <c r="F59" s="7">
        <v>1.65109</v>
      </c>
      <c r="G59" s="7">
        <v>84.21</v>
      </c>
      <c r="H59" s="7" t="s">
        <v>26</v>
      </c>
      <c r="I59" s="7" t="s">
        <v>1178</v>
      </c>
      <c r="J59" s="7">
        <v>1.81783</v>
      </c>
      <c r="K59" s="7">
        <v>100.0</v>
      </c>
      <c r="L59" s="7" t="s">
        <v>15</v>
      </c>
      <c r="M59" s="7" t="s">
        <v>1177</v>
      </c>
      <c r="O59" s="7">
        <v>84.21</v>
      </c>
      <c r="P59" s="7" t="s">
        <v>26</v>
      </c>
      <c r="Q59" s="7" t="s">
        <v>1178</v>
      </c>
      <c r="S59" s="7">
        <v>100.0</v>
      </c>
      <c r="T59" s="7" t="s">
        <v>15</v>
      </c>
    </row>
    <row r="60">
      <c r="A60" s="7" t="s">
        <v>1179</v>
      </c>
      <c r="B60" s="7">
        <v>0.03485</v>
      </c>
      <c r="C60" s="7">
        <v>40.0</v>
      </c>
      <c r="D60" s="7" t="s">
        <v>26</v>
      </c>
      <c r="E60" s="7" t="s">
        <v>1179</v>
      </c>
      <c r="F60" s="7">
        <v>1.61622</v>
      </c>
      <c r="G60" s="7">
        <v>40.0</v>
      </c>
      <c r="H60" s="7" t="s">
        <v>26</v>
      </c>
      <c r="I60" s="7" t="s">
        <v>1179</v>
      </c>
      <c r="J60" s="7">
        <v>1.64024</v>
      </c>
      <c r="K60" s="7">
        <v>40.0</v>
      </c>
      <c r="L60" s="7" t="s">
        <v>26</v>
      </c>
      <c r="M60" s="7" t="s">
        <v>1179</v>
      </c>
      <c r="O60" s="7">
        <v>40.0</v>
      </c>
      <c r="P60" s="7" t="s">
        <v>26</v>
      </c>
      <c r="Q60" s="7" t="s">
        <v>1179</v>
      </c>
      <c r="S60" s="7">
        <v>40.0</v>
      </c>
      <c r="T60" s="7" t="s">
        <v>26</v>
      </c>
    </row>
    <row r="61">
      <c r="A61" s="7" t="s">
        <v>1180</v>
      </c>
      <c r="B61" s="7">
        <v>0.03236</v>
      </c>
      <c r="C61" s="7">
        <v>40.0</v>
      </c>
      <c r="D61" s="7" t="s">
        <v>26</v>
      </c>
      <c r="E61" s="7" t="s">
        <v>1180</v>
      </c>
      <c r="F61" s="7">
        <v>1.68635</v>
      </c>
      <c r="G61" s="7">
        <v>40.0</v>
      </c>
      <c r="H61" s="7" t="s">
        <v>26</v>
      </c>
      <c r="I61" s="7" t="s">
        <v>1180</v>
      </c>
      <c r="J61" s="7">
        <v>2.86784</v>
      </c>
      <c r="K61" s="7">
        <v>40.0</v>
      </c>
      <c r="L61" s="7" t="s">
        <v>26</v>
      </c>
      <c r="M61" s="7" t="s">
        <v>1180</v>
      </c>
      <c r="O61" s="7">
        <v>40.0</v>
      </c>
      <c r="P61" s="7" t="s">
        <v>26</v>
      </c>
      <c r="Q61" s="7" t="s">
        <v>1180</v>
      </c>
      <c r="S61" s="7">
        <v>40.0</v>
      </c>
      <c r="T61" s="7" t="s">
        <v>26</v>
      </c>
    </row>
    <row r="62">
      <c r="A62" s="7" t="s">
        <v>1181</v>
      </c>
      <c r="B62" s="7">
        <v>0.03353</v>
      </c>
      <c r="C62" s="7">
        <v>100.0</v>
      </c>
      <c r="D62" s="7" t="s">
        <v>15</v>
      </c>
      <c r="E62" s="7" t="s">
        <v>1181</v>
      </c>
      <c r="F62" s="7">
        <v>1.75347</v>
      </c>
      <c r="G62" s="7">
        <v>100.0</v>
      </c>
      <c r="H62" s="7" t="s">
        <v>15</v>
      </c>
      <c r="I62" s="7" t="s">
        <v>1182</v>
      </c>
      <c r="J62" s="7">
        <v>1.7214</v>
      </c>
      <c r="K62" s="7">
        <v>63.64</v>
      </c>
      <c r="L62" s="7" t="s">
        <v>26</v>
      </c>
      <c r="M62" s="7" t="s">
        <v>1181</v>
      </c>
      <c r="O62" s="7">
        <v>100.0</v>
      </c>
      <c r="P62" s="7" t="s">
        <v>15</v>
      </c>
      <c r="Q62" s="7" t="s">
        <v>1181</v>
      </c>
      <c r="S62" s="7">
        <v>100.0</v>
      </c>
      <c r="T62" s="7" t="s">
        <v>15</v>
      </c>
    </row>
    <row r="63">
      <c r="A63" s="7" t="s">
        <v>1183</v>
      </c>
      <c r="B63" s="7">
        <v>0.03207</v>
      </c>
      <c r="C63" s="7">
        <v>100.0</v>
      </c>
      <c r="D63" s="7" t="s">
        <v>15</v>
      </c>
      <c r="E63" s="7" t="s">
        <v>1183</v>
      </c>
      <c r="F63" s="7">
        <v>1.73222</v>
      </c>
      <c r="G63" s="7">
        <v>100.0</v>
      </c>
      <c r="H63" s="7" t="s">
        <v>15</v>
      </c>
      <c r="I63" s="7" t="s">
        <v>1183</v>
      </c>
      <c r="J63" s="7">
        <v>1.63068</v>
      </c>
      <c r="K63" s="7">
        <v>100.0</v>
      </c>
      <c r="L63" s="7" t="s">
        <v>15</v>
      </c>
      <c r="M63" s="7" t="s">
        <v>1183</v>
      </c>
      <c r="O63" s="7">
        <v>100.0</v>
      </c>
      <c r="P63" s="7" t="s">
        <v>15</v>
      </c>
      <c r="Q63" s="7" t="s">
        <v>1183</v>
      </c>
      <c r="S63" s="7">
        <v>100.0</v>
      </c>
      <c r="T63" s="7" t="s">
        <v>15</v>
      </c>
    </row>
    <row r="64">
      <c r="A64" s="7" t="s">
        <v>1184</v>
      </c>
      <c r="B64" s="7">
        <v>0.03476</v>
      </c>
      <c r="C64" s="7">
        <v>100.0</v>
      </c>
      <c r="D64" s="7" t="s">
        <v>15</v>
      </c>
      <c r="E64" s="7" t="s">
        <v>1184</v>
      </c>
      <c r="F64" s="7">
        <v>1.63811</v>
      </c>
      <c r="G64" s="7">
        <v>100.0</v>
      </c>
      <c r="H64" s="7" t="s">
        <v>15</v>
      </c>
      <c r="I64" s="7" t="s">
        <v>1184</v>
      </c>
      <c r="J64" s="7">
        <v>1.76789</v>
      </c>
      <c r="K64" s="7">
        <v>100.0</v>
      </c>
      <c r="L64" s="7" t="s">
        <v>15</v>
      </c>
      <c r="M64" s="7" t="s">
        <v>1184</v>
      </c>
      <c r="O64" s="7">
        <v>100.0</v>
      </c>
      <c r="P64" s="7" t="s">
        <v>15</v>
      </c>
      <c r="Q64" s="7" t="s">
        <v>1184</v>
      </c>
      <c r="S64" s="7">
        <v>100.0</v>
      </c>
      <c r="T64" s="7" t="s">
        <v>15</v>
      </c>
    </row>
    <row r="65">
      <c r="A65" s="7" t="s">
        <v>1185</v>
      </c>
      <c r="B65" s="7">
        <v>0.03011</v>
      </c>
      <c r="C65" s="7">
        <v>100.0</v>
      </c>
      <c r="D65" s="7" t="s">
        <v>15</v>
      </c>
      <c r="E65" s="7" t="s">
        <v>1185</v>
      </c>
      <c r="F65" s="7">
        <v>1.51737</v>
      </c>
      <c r="G65" s="7">
        <v>100.0</v>
      </c>
      <c r="H65" s="7" t="s">
        <v>15</v>
      </c>
      <c r="I65" s="7" t="s">
        <v>1185</v>
      </c>
      <c r="J65" s="7">
        <v>1.80738</v>
      </c>
      <c r="K65" s="7">
        <v>100.0</v>
      </c>
      <c r="L65" s="7" t="s">
        <v>15</v>
      </c>
      <c r="M65" s="7" t="s">
        <v>1185</v>
      </c>
      <c r="O65" s="7">
        <v>100.0</v>
      </c>
      <c r="P65" s="7" t="s">
        <v>15</v>
      </c>
      <c r="Q65" s="7" t="s">
        <v>1185</v>
      </c>
      <c r="S65" s="7">
        <v>100.0</v>
      </c>
      <c r="T65" s="7" t="s">
        <v>15</v>
      </c>
    </row>
    <row r="66">
      <c r="A66" s="7" t="s">
        <v>1186</v>
      </c>
      <c r="B66" s="7">
        <v>0.0305</v>
      </c>
      <c r="C66" s="7">
        <v>100.0</v>
      </c>
      <c r="D66" s="7" t="s">
        <v>15</v>
      </c>
      <c r="E66" s="7" t="s">
        <v>1186</v>
      </c>
      <c r="F66" s="7">
        <v>1.71676</v>
      </c>
      <c r="G66" s="7">
        <v>100.0</v>
      </c>
      <c r="H66" s="7" t="s">
        <v>15</v>
      </c>
      <c r="I66" s="7" t="s">
        <v>1186</v>
      </c>
      <c r="J66" s="7">
        <v>1.63302</v>
      </c>
      <c r="K66" s="7">
        <v>100.0</v>
      </c>
      <c r="L66" s="7" t="s">
        <v>15</v>
      </c>
      <c r="M66" s="7" t="s">
        <v>1186</v>
      </c>
      <c r="O66" s="7">
        <v>100.0</v>
      </c>
      <c r="P66" s="7" t="s">
        <v>15</v>
      </c>
      <c r="Q66" s="7" t="s">
        <v>1186</v>
      </c>
      <c r="S66" s="7">
        <v>100.0</v>
      </c>
      <c r="T66" s="7" t="s">
        <v>15</v>
      </c>
    </row>
    <row r="67">
      <c r="A67" s="7" t="s">
        <v>1187</v>
      </c>
      <c r="B67" s="7">
        <v>0.03375</v>
      </c>
      <c r="C67" s="7">
        <v>100.0</v>
      </c>
      <c r="D67" s="7" t="s">
        <v>15</v>
      </c>
      <c r="E67" s="7" t="s">
        <v>1187</v>
      </c>
      <c r="F67" s="7">
        <v>4.03838</v>
      </c>
      <c r="G67" s="7">
        <v>100.0</v>
      </c>
      <c r="H67" s="7" t="s">
        <v>15</v>
      </c>
      <c r="I67" s="7" t="s">
        <v>1187</v>
      </c>
      <c r="J67" s="7">
        <v>1.70114</v>
      </c>
      <c r="K67" s="7">
        <v>100.0</v>
      </c>
      <c r="L67" s="7" t="s">
        <v>15</v>
      </c>
      <c r="M67" s="7" t="s">
        <v>1187</v>
      </c>
      <c r="O67" s="7">
        <v>100.0</v>
      </c>
      <c r="P67" s="7" t="s">
        <v>15</v>
      </c>
      <c r="Q67" s="7" t="s">
        <v>1187</v>
      </c>
      <c r="S67" s="7">
        <v>100.0</v>
      </c>
      <c r="T67" s="7" t="s">
        <v>15</v>
      </c>
    </row>
    <row r="68">
      <c r="A68" s="7" t="s">
        <v>1188</v>
      </c>
      <c r="B68" s="7">
        <v>0.03535</v>
      </c>
      <c r="C68" s="7">
        <v>100.0</v>
      </c>
      <c r="D68" s="7" t="s">
        <v>15</v>
      </c>
      <c r="E68" s="7" t="s">
        <v>1188</v>
      </c>
      <c r="F68" s="7">
        <v>1.81461</v>
      </c>
      <c r="G68" s="7">
        <v>100.0</v>
      </c>
      <c r="H68" s="7" t="s">
        <v>15</v>
      </c>
      <c r="I68" s="7" t="s">
        <v>1188</v>
      </c>
      <c r="J68" s="7">
        <v>1.6192</v>
      </c>
      <c r="K68" s="7">
        <v>100.0</v>
      </c>
      <c r="L68" s="7" t="s">
        <v>15</v>
      </c>
      <c r="M68" s="7" t="s">
        <v>1188</v>
      </c>
      <c r="O68" s="7">
        <v>100.0</v>
      </c>
      <c r="P68" s="7" t="s">
        <v>15</v>
      </c>
      <c r="Q68" s="7" t="s">
        <v>1188</v>
      </c>
      <c r="S68" s="7">
        <v>100.0</v>
      </c>
      <c r="T68" s="7" t="s">
        <v>15</v>
      </c>
    </row>
    <row r="69">
      <c r="A69" s="7" t="s">
        <v>1189</v>
      </c>
      <c r="B69" s="7">
        <v>0.03228</v>
      </c>
      <c r="C69" s="7">
        <v>78.26</v>
      </c>
      <c r="D69" s="7" t="s">
        <v>26</v>
      </c>
      <c r="E69" s="7" t="s">
        <v>1189</v>
      </c>
      <c r="F69" s="7">
        <v>1.75394</v>
      </c>
      <c r="G69" s="7">
        <v>78.26</v>
      </c>
      <c r="H69" s="7" t="s">
        <v>26</v>
      </c>
      <c r="I69" s="7" t="s">
        <v>1189</v>
      </c>
      <c r="J69" s="7">
        <v>2.87711</v>
      </c>
      <c r="K69" s="7">
        <v>78.26</v>
      </c>
      <c r="L69" s="7" t="s">
        <v>26</v>
      </c>
      <c r="M69" s="7" t="s">
        <v>1190</v>
      </c>
      <c r="O69" s="7">
        <v>75.0</v>
      </c>
      <c r="P69" s="7" t="s">
        <v>26</v>
      </c>
      <c r="Q69" s="7" t="s">
        <v>1189</v>
      </c>
      <c r="S69" s="7">
        <v>78.26</v>
      </c>
      <c r="T69" s="7" t="s">
        <v>26</v>
      </c>
    </row>
    <row r="70">
      <c r="A70" s="7" t="s">
        <v>1191</v>
      </c>
      <c r="B70" s="7">
        <v>0.06185</v>
      </c>
      <c r="C70" s="7">
        <v>100.0</v>
      </c>
      <c r="D70" s="7" t="s">
        <v>15</v>
      </c>
      <c r="E70" s="7" t="s">
        <v>1191</v>
      </c>
      <c r="F70" s="7">
        <v>2.06481</v>
      </c>
      <c r="G70" s="7">
        <v>100.0</v>
      </c>
      <c r="H70" s="7" t="s">
        <v>15</v>
      </c>
      <c r="I70" s="7" t="s">
        <v>1191</v>
      </c>
      <c r="J70" s="7">
        <v>1.64254</v>
      </c>
      <c r="K70" s="7">
        <v>100.0</v>
      </c>
      <c r="L70" s="7" t="s">
        <v>15</v>
      </c>
      <c r="M70" s="7" t="s">
        <v>1191</v>
      </c>
      <c r="O70" s="7">
        <v>100.0</v>
      </c>
      <c r="P70" s="7" t="s">
        <v>15</v>
      </c>
      <c r="Q70" s="7" t="s">
        <v>1191</v>
      </c>
      <c r="S70" s="7">
        <v>100.0</v>
      </c>
      <c r="T70" s="7" t="s">
        <v>15</v>
      </c>
    </row>
    <row r="71">
      <c r="A71" s="7" t="s">
        <v>1192</v>
      </c>
      <c r="B71" s="7">
        <v>0.05403</v>
      </c>
      <c r="C71" s="7">
        <v>100.0</v>
      </c>
      <c r="D71" s="7" t="s">
        <v>15</v>
      </c>
      <c r="E71" s="7" t="s">
        <v>1192</v>
      </c>
      <c r="F71" s="7">
        <v>1.84433</v>
      </c>
      <c r="G71" s="7">
        <v>100.0</v>
      </c>
      <c r="H71" s="7" t="s">
        <v>15</v>
      </c>
      <c r="I71" s="7" t="s">
        <v>1192</v>
      </c>
      <c r="J71" s="7">
        <v>1.62789</v>
      </c>
      <c r="K71" s="7">
        <v>100.0</v>
      </c>
      <c r="L71" s="7" t="s">
        <v>15</v>
      </c>
      <c r="M71" s="7" t="s">
        <v>1192</v>
      </c>
      <c r="O71" s="7">
        <v>100.0</v>
      </c>
      <c r="P71" s="7" t="s">
        <v>15</v>
      </c>
      <c r="Q71" s="7" t="s">
        <v>1192</v>
      </c>
      <c r="S71" s="7">
        <v>100.0</v>
      </c>
      <c r="T71" s="7" t="s">
        <v>15</v>
      </c>
    </row>
    <row r="72">
      <c r="A72" s="7" t="s">
        <v>1193</v>
      </c>
      <c r="B72" s="7">
        <v>0.05887</v>
      </c>
      <c r="C72" s="7">
        <v>100.0</v>
      </c>
      <c r="D72" s="7" t="s">
        <v>15</v>
      </c>
      <c r="E72" s="7" t="s">
        <v>1193</v>
      </c>
      <c r="F72" s="7">
        <v>1.57268</v>
      </c>
      <c r="G72" s="7">
        <v>100.0</v>
      </c>
      <c r="H72" s="7" t="s">
        <v>15</v>
      </c>
      <c r="I72" s="7" t="s">
        <v>1193</v>
      </c>
      <c r="J72" s="7">
        <v>1.69366</v>
      </c>
      <c r="K72" s="7">
        <v>100.0</v>
      </c>
      <c r="L72" s="7" t="s">
        <v>15</v>
      </c>
      <c r="M72" s="7" t="s">
        <v>1193</v>
      </c>
      <c r="O72" s="7">
        <v>100.0</v>
      </c>
      <c r="P72" s="7" t="s">
        <v>15</v>
      </c>
      <c r="Q72" s="7" t="s">
        <v>1193</v>
      </c>
      <c r="S72" s="7">
        <v>100.0</v>
      </c>
      <c r="T72" s="7" t="s">
        <v>15</v>
      </c>
    </row>
    <row r="73">
      <c r="A73" s="7" t="s">
        <v>1194</v>
      </c>
      <c r="B73" s="7">
        <v>0.0674</v>
      </c>
      <c r="C73" s="7">
        <v>100.0</v>
      </c>
      <c r="D73" s="7" t="s">
        <v>15</v>
      </c>
      <c r="E73" s="7" t="s">
        <v>1194</v>
      </c>
      <c r="F73" s="7">
        <v>1.54362</v>
      </c>
      <c r="G73" s="7">
        <v>100.0</v>
      </c>
      <c r="H73" s="7" t="s">
        <v>15</v>
      </c>
      <c r="I73" s="7" t="s">
        <v>1194</v>
      </c>
      <c r="J73" s="7">
        <v>1.91515</v>
      </c>
      <c r="K73" s="7">
        <v>100.0</v>
      </c>
      <c r="L73" s="7" t="s">
        <v>15</v>
      </c>
      <c r="M73" s="7" t="s">
        <v>1194</v>
      </c>
      <c r="O73" s="7">
        <v>100.0</v>
      </c>
      <c r="P73" s="7" t="s">
        <v>15</v>
      </c>
      <c r="Q73" s="7" t="s">
        <v>1194</v>
      </c>
      <c r="S73" s="7">
        <v>100.0</v>
      </c>
      <c r="T73" s="7" t="s">
        <v>15</v>
      </c>
    </row>
    <row r="74">
      <c r="A74" s="7" t="s">
        <v>1195</v>
      </c>
      <c r="B74" s="7">
        <v>0.0346</v>
      </c>
      <c r="C74" s="7">
        <v>100.0</v>
      </c>
      <c r="D74" s="7" t="s">
        <v>15</v>
      </c>
      <c r="E74" s="7" t="s">
        <v>1195</v>
      </c>
      <c r="F74" s="7">
        <v>1.67719</v>
      </c>
      <c r="G74" s="7">
        <v>100.0</v>
      </c>
      <c r="H74" s="7" t="s">
        <v>15</v>
      </c>
      <c r="I74" s="7" t="s">
        <v>1195</v>
      </c>
      <c r="J74" s="7">
        <v>2.55234</v>
      </c>
      <c r="K74" s="7">
        <v>100.0</v>
      </c>
      <c r="L74" s="7" t="s">
        <v>15</v>
      </c>
      <c r="M74" s="7" t="s">
        <v>1195</v>
      </c>
      <c r="O74" s="7">
        <v>100.0</v>
      </c>
      <c r="P74" s="7" t="s">
        <v>15</v>
      </c>
      <c r="Q74" s="7" t="s">
        <v>1195</v>
      </c>
      <c r="S74" s="7">
        <v>100.0</v>
      </c>
      <c r="T74" s="7" t="s">
        <v>15</v>
      </c>
    </row>
    <row r="75">
      <c r="A75" s="7" t="s">
        <v>1196</v>
      </c>
      <c r="B75" s="7">
        <v>0.06309</v>
      </c>
      <c r="C75" s="7">
        <v>100.0</v>
      </c>
      <c r="D75" s="7" t="s">
        <v>15</v>
      </c>
      <c r="E75" s="7" t="s">
        <v>1196</v>
      </c>
      <c r="F75" s="7">
        <v>1.64158</v>
      </c>
      <c r="G75" s="7">
        <v>100.0</v>
      </c>
      <c r="H75" s="7" t="s">
        <v>15</v>
      </c>
      <c r="I75" s="7" t="s">
        <v>1196</v>
      </c>
      <c r="J75" s="7">
        <v>1.77193</v>
      </c>
      <c r="K75" s="7">
        <v>100.0</v>
      </c>
      <c r="L75" s="7" t="s">
        <v>15</v>
      </c>
      <c r="M75" s="7" t="s">
        <v>1197</v>
      </c>
      <c r="O75" s="7">
        <v>75.0</v>
      </c>
      <c r="P75" s="7" t="s">
        <v>26</v>
      </c>
      <c r="Q75" s="7" t="s">
        <v>1197</v>
      </c>
      <c r="S75" s="7">
        <v>75.0</v>
      </c>
      <c r="T75" s="7" t="s">
        <v>26</v>
      </c>
    </row>
    <row r="76">
      <c r="A76" s="7" t="s">
        <v>1198</v>
      </c>
      <c r="B76" s="7">
        <v>0.03081</v>
      </c>
      <c r="C76" s="7">
        <v>100.0</v>
      </c>
      <c r="D76" s="7" t="s">
        <v>15</v>
      </c>
      <c r="E76" s="7" t="s">
        <v>1198</v>
      </c>
      <c r="F76" s="7">
        <v>1.50299</v>
      </c>
      <c r="G76" s="7">
        <v>100.0</v>
      </c>
      <c r="H76" s="7" t="s">
        <v>15</v>
      </c>
      <c r="I76" s="7" t="s">
        <v>1198</v>
      </c>
      <c r="J76" s="7">
        <v>1.76541</v>
      </c>
      <c r="K76" s="7">
        <v>100.0</v>
      </c>
      <c r="L76" s="7" t="s">
        <v>15</v>
      </c>
      <c r="M76" s="7" t="s">
        <v>1198</v>
      </c>
      <c r="O76" s="7">
        <v>100.0</v>
      </c>
      <c r="P76" s="7" t="s">
        <v>15</v>
      </c>
      <c r="Q76" s="7" t="s">
        <v>1198</v>
      </c>
      <c r="S76" s="7">
        <v>100.0</v>
      </c>
      <c r="T76" s="7" t="s">
        <v>15</v>
      </c>
    </row>
    <row r="77">
      <c r="A77" s="7" t="s">
        <v>1199</v>
      </c>
      <c r="B77" s="7">
        <v>0.05577</v>
      </c>
      <c r="C77" s="7">
        <v>100.0</v>
      </c>
      <c r="D77" s="7" t="s">
        <v>15</v>
      </c>
      <c r="E77" s="7" t="s">
        <v>1199</v>
      </c>
      <c r="F77" s="7">
        <v>1.74526</v>
      </c>
      <c r="G77" s="7">
        <v>100.0</v>
      </c>
      <c r="H77" s="7" t="s">
        <v>15</v>
      </c>
      <c r="I77" s="7" t="s">
        <v>1199</v>
      </c>
      <c r="J77" s="7">
        <v>1.79727</v>
      </c>
      <c r="K77" s="7">
        <v>100.0</v>
      </c>
      <c r="L77" s="7" t="s">
        <v>15</v>
      </c>
      <c r="M77" s="7" t="s">
        <v>1199</v>
      </c>
      <c r="O77" s="7">
        <v>100.0</v>
      </c>
      <c r="P77" s="7" t="s">
        <v>15</v>
      </c>
      <c r="Q77" s="7" t="s">
        <v>1199</v>
      </c>
      <c r="S77" s="7">
        <v>100.0</v>
      </c>
      <c r="T77" s="7" t="s">
        <v>15</v>
      </c>
    </row>
    <row r="78">
      <c r="A78" s="7" t="s">
        <v>1200</v>
      </c>
      <c r="B78" s="7">
        <v>0.03713</v>
      </c>
      <c r="C78" s="7">
        <v>100.0</v>
      </c>
      <c r="D78" s="7" t="s">
        <v>15</v>
      </c>
      <c r="E78" s="7" t="s">
        <v>1200</v>
      </c>
      <c r="F78" s="7">
        <v>1.5211</v>
      </c>
      <c r="G78" s="7">
        <v>100.0</v>
      </c>
      <c r="H78" s="7" t="s">
        <v>15</v>
      </c>
      <c r="I78" s="7" t="s">
        <v>1201</v>
      </c>
      <c r="J78" s="7">
        <v>1.79179</v>
      </c>
      <c r="K78" s="7">
        <v>76.92</v>
      </c>
      <c r="L78" s="7" t="s">
        <v>99</v>
      </c>
      <c r="M78" s="7" t="s">
        <v>1200</v>
      </c>
      <c r="O78" s="7">
        <v>100.0</v>
      </c>
      <c r="P78" s="7" t="s">
        <v>15</v>
      </c>
      <c r="Q78" s="7" t="s">
        <v>1200</v>
      </c>
      <c r="S78" s="7">
        <v>100.0</v>
      </c>
      <c r="T78" s="7" t="s">
        <v>15</v>
      </c>
    </row>
    <row r="79">
      <c r="A79" s="7" t="s">
        <v>1202</v>
      </c>
      <c r="B79" s="7">
        <v>0.05441</v>
      </c>
      <c r="C79" s="7">
        <v>100.0</v>
      </c>
      <c r="D79" s="7" t="s">
        <v>15</v>
      </c>
      <c r="E79" s="7" t="s">
        <v>1202</v>
      </c>
      <c r="F79" s="7">
        <v>1.75304</v>
      </c>
      <c r="G79" s="7">
        <v>100.0</v>
      </c>
      <c r="H79" s="7" t="s">
        <v>15</v>
      </c>
      <c r="I79" s="7" t="s">
        <v>1202</v>
      </c>
      <c r="J79" s="7">
        <v>1.62758</v>
      </c>
      <c r="K79" s="7">
        <v>100.0</v>
      </c>
      <c r="L79" s="7" t="s">
        <v>15</v>
      </c>
      <c r="M79" s="7" t="s">
        <v>1202</v>
      </c>
      <c r="O79" s="7">
        <v>100.0</v>
      </c>
      <c r="P79" s="7" t="s">
        <v>15</v>
      </c>
      <c r="Q79" s="7" t="s">
        <v>1202</v>
      </c>
      <c r="S79" s="7">
        <v>100.0</v>
      </c>
      <c r="T79" s="7" t="s">
        <v>15</v>
      </c>
    </row>
    <row r="80">
      <c r="A80" s="7" t="s">
        <v>1203</v>
      </c>
      <c r="B80" s="7">
        <v>0.03292</v>
      </c>
      <c r="C80" s="7">
        <v>100.0</v>
      </c>
      <c r="D80" s="7" t="s">
        <v>15</v>
      </c>
      <c r="E80" s="7" t="s">
        <v>1203</v>
      </c>
      <c r="F80" s="7">
        <v>1.91171</v>
      </c>
      <c r="G80" s="7">
        <v>100.0</v>
      </c>
      <c r="H80" s="7" t="s">
        <v>15</v>
      </c>
      <c r="I80" s="7" t="s">
        <v>1203</v>
      </c>
      <c r="J80" s="7">
        <v>2.65212</v>
      </c>
      <c r="K80" s="7">
        <v>100.0</v>
      </c>
      <c r="L80" s="7" t="s">
        <v>15</v>
      </c>
      <c r="M80" s="7" t="s">
        <v>1203</v>
      </c>
      <c r="O80" s="7">
        <v>100.0</v>
      </c>
      <c r="P80" s="7" t="s">
        <v>15</v>
      </c>
      <c r="Q80" s="7" t="s">
        <v>1203</v>
      </c>
      <c r="S80" s="7">
        <v>100.0</v>
      </c>
      <c r="T80" s="7" t="s">
        <v>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1.88"/>
    <col customWidth="1" min="5" max="5" width="27.25"/>
    <col customWidth="1" min="6" max="6" width="14.38"/>
    <col customWidth="1" min="8" max="8" width="27.25"/>
    <col customWidth="1" min="9" max="9" width="25.25"/>
    <col customWidth="1" min="10" max="10" width="14.38"/>
    <col customWidth="1" min="12" max="12" width="7.75"/>
    <col customWidth="1" min="13" max="13" width="19.5"/>
    <col customWidth="1" min="14" max="14" width="14.38"/>
    <col customWidth="1" min="16" max="16" width="7.75"/>
    <col customWidth="1" min="17" max="17" width="19.5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312</v>
      </c>
      <c r="B2" s="7">
        <v>0.06797</v>
      </c>
      <c r="C2" s="7">
        <v>100.0</v>
      </c>
      <c r="D2" s="7" t="s">
        <v>15</v>
      </c>
      <c r="E2" s="7" t="s">
        <v>312</v>
      </c>
      <c r="F2" s="7">
        <v>3.06082</v>
      </c>
      <c r="G2" s="7">
        <v>100.0</v>
      </c>
      <c r="H2" s="7" t="s">
        <v>15</v>
      </c>
      <c r="I2" s="7" t="s">
        <v>312</v>
      </c>
      <c r="J2" s="7">
        <v>1.69858</v>
      </c>
      <c r="K2" s="7">
        <v>100.0</v>
      </c>
      <c r="L2" s="7" t="s">
        <v>15</v>
      </c>
      <c r="M2" s="7" t="s">
        <v>312</v>
      </c>
      <c r="N2" s="7">
        <v>6.30312</v>
      </c>
      <c r="O2" s="7">
        <v>100.0</v>
      </c>
      <c r="P2" s="7" t="s">
        <v>15</v>
      </c>
      <c r="Q2" s="7" t="s">
        <v>312</v>
      </c>
      <c r="R2" s="7">
        <v>8.36818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1204</v>
      </c>
      <c r="B3" s="7">
        <v>0.07191</v>
      </c>
      <c r="C3" s="7">
        <v>100.0</v>
      </c>
      <c r="D3" s="7" t="s">
        <v>15</v>
      </c>
      <c r="E3" s="7" t="s">
        <v>1204</v>
      </c>
      <c r="F3" s="7">
        <v>1.80572</v>
      </c>
      <c r="G3" s="7">
        <v>100.0</v>
      </c>
      <c r="H3" s="7" t="s">
        <v>15</v>
      </c>
      <c r="I3" s="7" t="s">
        <v>1204</v>
      </c>
      <c r="J3" s="7">
        <v>1.72693</v>
      </c>
      <c r="K3" s="7">
        <v>100.0</v>
      </c>
      <c r="L3" s="7" t="s">
        <v>15</v>
      </c>
      <c r="M3" s="7" t="s">
        <v>1204</v>
      </c>
      <c r="O3" s="7">
        <v>100.0</v>
      </c>
      <c r="P3" s="7" t="s">
        <v>15</v>
      </c>
      <c r="Q3" s="7" t="s">
        <v>1204</v>
      </c>
      <c r="S3" s="7">
        <v>100.0</v>
      </c>
      <c r="T3" s="7" t="s">
        <v>15</v>
      </c>
      <c r="U3" s="8">
        <f>AVERAGE(B2:B1000)</f>
        <v>0.1092113265</v>
      </c>
      <c r="V3" s="8">
        <f>AVERAGE(F2:F1000)</f>
        <v>1.988695102</v>
      </c>
      <c r="W3" s="8">
        <f>AVERAGE(J2:J1000)</f>
        <v>2.26990949</v>
      </c>
      <c r="X3" s="8">
        <f>N2/COUNTA(M2:M1000)</f>
        <v>0.06431755102</v>
      </c>
      <c r="Y3" s="8">
        <f>R2/COUNTA(Q2:Q1000)</f>
        <v>0.08538959184</v>
      </c>
      <c r="Z3" s="7" t="s">
        <v>18</v>
      </c>
    </row>
    <row r="4">
      <c r="A4" s="7" t="s">
        <v>1205</v>
      </c>
      <c r="B4" s="7">
        <v>0.08133</v>
      </c>
      <c r="C4" s="7">
        <v>100.0</v>
      </c>
      <c r="D4" s="7" t="s">
        <v>15</v>
      </c>
      <c r="E4" s="7" t="s">
        <v>1205</v>
      </c>
      <c r="F4" s="7">
        <v>3.06455</v>
      </c>
      <c r="G4" s="7">
        <v>100.0</v>
      </c>
      <c r="H4" s="7" t="s">
        <v>15</v>
      </c>
      <c r="I4" s="7" t="s">
        <v>1205</v>
      </c>
      <c r="J4" s="7">
        <v>1.96405</v>
      </c>
      <c r="K4" s="7">
        <v>100.0</v>
      </c>
      <c r="L4" s="7" t="s">
        <v>15</v>
      </c>
      <c r="M4" s="7" t="s">
        <v>1205</v>
      </c>
      <c r="O4" s="7">
        <v>100.0</v>
      </c>
      <c r="P4" s="7" t="s">
        <v>15</v>
      </c>
      <c r="Q4" s="7" t="s">
        <v>1205</v>
      </c>
      <c r="S4" s="7">
        <v>100.0</v>
      </c>
      <c r="T4" s="7" t="s">
        <v>15</v>
      </c>
      <c r="U4" s="8">
        <f>STDEV(B2:B1000)</f>
        <v>0.07889427281</v>
      </c>
      <c r="V4" s="8">
        <f>STDEV(F2:F1000)</f>
        <v>0.4151621763</v>
      </c>
      <c r="W4" s="8">
        <f>STDEV(J2:J1000)</f>
        <v>0.7317458359</v>
      </c>
      <c r="X4" s="8"/>
      <c r="Y4" s="8"/>
      <c r="Z4" s="7" t="s">
        <v>20</v>
      </c>
    </row>
    <row r="5">
      <c r="A5" s="7" t="s">
        <v>1206</v>
      </c>
      <c r="B5" s="7">
        <v>0.0373</v>
      </c>
      <c r="C5" s="7">
        <v>100.0</v>
      </c>
      <c r="D5" s="7" t="s">
        <v>15</v>
      </c>
      <c r="E5" s="7" t="s">
        <v>1206</v>
      </c>
      <c r="F5" s="7">
        <v>1.90452</v>
      </c>
      <c r="G5" s="7">
        <v>100.0</v>
      </c>
      <c r="H5" s="7" t="s">
        <v>15</v>
      </c>
      <c r="I5" s="7" t="s">
        <v>1206</v>
      </c>
      <c r="J5" s="7">
        <v>1.89011</v>
      </c>
      <c r="K5" s="7">
        <v>100.0</v>
      </c>
      <c r="L5" s="7" t="s">
        <v>15</v>
      </c>
      <c r="M5" s="7" t="s">
        <v>1206</v>
      </c>
      <c r="O5" s="7">
        <v>100.0</v>
      </c>
      <c r="P5" s="7" t="s">
        <v>15</v>
      </c>
      <c r="Q5" s="7" t="s">
        <v>1206</v>
      </c>
      <c r="S5" s="7">
        <v>100.0</v>
      </c>
      <c r="T5" s="7" t="s">
        <v>15</v>
      </c>
      <c r="U5" s="8">
        <f>MAX(B2:B1000)</f>
        <v>0.54029</v>
      </c>
      <c r="V5" s="8">
        <f>MAX(F2:F1000)</f>
        <v>4.05991</v>
      </c>
      <c r="W5" s="8">
        <f>MAX(J2:J1000)</f>
        <v>6.98477</v>
      </c>
      <c r="X5" s="8"/>
      <c r="Y5" s="8"/>
      <c r="Z5" s="7" t="s">
        <v>22</v>
      </c>
    </row>
    <row r="6">
      <c r="A6" s="7" t="s">
        <v>1207</v>
      </c>
      <c r="B6" s="7">
        <v>0.05336</v>
      </c>
      <c r="C6" s="7">
        <v>100.0</v>
      </c>
      <c r="D6" s="7" t="s">
        <v>15</v>
      </c>
      <c r="E6" s="7" t="s">
        <v>1207</v>
      </c>
      <c r="F6" s="7">
        <v>2.00237</v>
      </c>
      <c r="G6" s="7">
        <v>100.0</v>
      </c>
      <c r="H6" s="7" t="s">
        <v>15</v>
      </c>
      <c r="I6" s="7" t="s">
        <v>1207</v>
      </c>
      <c r="J6" s="7">
        <v>1.63926</v>
      </c>
      <c r="K6" s="7">
        <v>100.0</v>
      </c>
      <c r="L6" s="7" t="s">
        <v>15</v>
      </c>
      <c r="M6" s="7" t="s">
        <v>1207</v>
      </c>
      <c r="O6" s="7">
        <v>100.0</v>
      </c>
      <c r="P6" s="7" t="s">
        <v>15</v>
      </c>
      <c r="Q6" s="7" t="s">
        <v>1207</v>
      </c>
      <c r="S6" s="7">
        <v>100.0</v>
      </c>
      <c r="T6" s="7" t="s">
        <v>15</v>
      </c>
      <c r="U6" s="8">
        <f>MIN(B2:B1000)</f>
        <v>0.0373</v>
      </c>
      <c r="V6" s="8">
        <f>MIN(F2:F1000)</f>
        <v>1.61249</v>
      </c>
      <c r="W6" s="8">
        <f>MIN(J2:J1000)</f>
        <v>1.57569</v>
      </c>
      <c r="X6" s="8"/>
      <c r="Y6" s="8"/>
      <c r="Z6" s="7" t="s">
        <v>24</v>
      </c>
    </row>
    <row r="7">
      <c r="A7" s="7" t="s">
        <v>1208</v>
      </c>
      <c r="B7" s="7">
        <v>0.07306</v>
      </c>
      <c r="C7" s="7">
        <v>100.0</v>
      </c>
      <c r="D7" s="7" t="s">
        <v>15</v>
      </c>
      <c r="E7" s="7" t="s">
        <v>1208</v>
      </c>
      <c r="F7" s="7">
        <v>3.7354</v>
      </c>
      <c r="G7" s="7">
        <v>100.0</v>
      </c>
      <c r="H7" s="7" t="s">
        <v>15</v>
      </c>
      <c r="I7" s="7" t="s">
        <v>1208</v>
      </c>
      <c r="J7" s="7">
        <v>2.53322</v>
      </c>
      <c r="K7" s="7">
        <v>100.0</v>
      </c>
      <c r="L7" s="7" t="s">
        <v>15</v>
      </c>
      <c r="M7" s="7" t="s">
        <v>1208</v>
      </c>
      <c r="O7" s="7">
        <v>100.0</v>
      </c>
      <c r="P7" s="7" t="s">
        <v>15</v>
      </c>
      <c r="Q7" s="7" t="s">
        <v>1208</v>
      </c>
      <c r="S7" s="7">
        <v>100.0</v>
      </c>
      <c r="T7" s="7" t="s">
        <v>15</v>
      </c>
      <c r="U7" s="8">
        <f>SUM(B2:B1000)</f>
        <v>10.70271</v>
      </c>
      <c r="V7" s="8">
        <f>SUM(F2:F1000)</f>
        <v>194.89212</v>
      </c>
      <c r="W7" s="8">
        <f>SUM(J2:J1000)</f>
        <v>222.45113</v>
      </c>
      <c r="X7" s="8">
        <f>N2</f>
        <v>6.30312</v>
      </c>
      <c r="Y7" s="8">
        <f>R2</f>
        <v>8.36818</v>
      </c>
      <c r="Z7" s="7" t="s">
        <v>28</v>
      </c>
    </row>
    <row r="8">
      <c r="A8" s="7" t="s">
        <v>1209</v>
      </c>
      <c r="B8" s="7">
        <v>0.07494</v>
      </c>
      <c r="C8" s="7">
        <v>100.0</v>
      </c>
      <c r="D8" s="7" t="s">
        <v>15</v>
      </c>
      <c r="E8" s="7" t="s">
        <v>1209</v>
      </c>
      <c r="F8" s="7">
        <v>1.98061</v>
      </c>
      <c r="G8" s="7">
        <v>100.0</v>
      </c>
      <c r="H8" s="7" t="s">
        <v>15</v>
      </c>
      <c r="I8" s="7" t="s">
        <v>1209</v>
      </c>
      <c r="J8" s="7">
        <v>1.90274</v>
      </c>
      <c r="K8" s="7">
        <v>100.0</v>
      </c>
      <c r="L8" s="7" t="s">
        <v>15</v>
      </c>
      <c r="M8" s="7" t="s">
        <v>1209</v>
      </c>
      <c r="O8" s="7">
        <v>100.0</v>
      </c>
      <c r="P8" s="7" t="s">
        <v>15</v>
      </c>
      <c r="Q8" s="7" t="s">
        <v>1209</v>
      </c>
      <c r="S8" s="7">
        <v>100.0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1210</v>
      </c>
      <c r="B9" s="7">
        <v>0.07527</v>
      </c>
      <c r="C9" s="7">
        <v>100.0</v>
      </c>
      <c r="D9" s="7" t="s">
        <v>15</v>
      </c>
      <c r="E9" s="7" t="s">
        <v>1210</v>
      </c>
      <c r="F9" s="7">
        <v>2.1901</v>
      </c>
      <c r="G9" s="7">
        <v>100.0</v>
      </c>
      <c r="H9" s="7" t="s">
        <v>15</v>
      </c>
      <c r="I9" s="7" t="s">
        <v>1210</v>
      </c>
      <c r="J9" s="7">
        <v>2.43423</v>
      </c>
      <c r="K9" s="7">
        <v>100.0</v>
      </c>
      <c r="L9" s="7" t="s">
        <v>15</v>
      </c>
      <c r="M9" s="7" t="s">
        <v>1210</v>
      </c>
      <c r="O9" s="7">
        <v>100.0</v>
      </c>
      <c r="P9" s="7" t="s">
        <v>15</v>
      </c>
      <c r="Q9" s="7" t="s">
        <v>1210</v>
      </c>
      <c r="S9" s="7">
        <v>100.0</v>
      </c>
      <c r="T9" s="7" t="s">
        <v>15</v>
      </c>
      <c r="U9" s="9">
        <f>AVERAGE(C2:C1000)</f>
        <v>98.33989796</v>
      </c>
      <c r="V9" s="9">
        <f>AVERAGE(G2:G1000)</f>
        <v>99.4655102</v>
      </c>
      <c r="W9" s="9">
        <f>AVERAGE(K2:K1000)</f>
        <v>94.35653061</v>
      </c>
      <c r="X9" s="9">
        <f>AVERAGE(O2:O1000)</f>
        <v>100</v>
      </c>
      <c r="Y9" s="9">
        <f>AVERAGE(S2:S1000)</f>
        <v>100</v>
      </c>
      <c r="Z9" s="7" t="s">
        <v>18</v>
      </c>
    </row>
    <row r="10">
      <c r="A10" s="7" t="s">
        <v>1211</v>
      </c>
      <c r="B10" s="7">
        <v>0.05961</v>
      </c>
      <c r="C10" s="7">
        <v>100.0</v>
      </c>
      <c r="D10" s="7" t="s">
        <v>15</v>
      </c>
      <c r="E10" s="7" t="s">
        <v>1211</v>
      </c>
      <c r="F10" s="7">
        <v>1.97294</v>
      </c>
      <c r="G10" s="7">
        <v>100.0</v>
      </c>
      <c r="H10" s="7" t="s">
        <v>15</v>
      </c>
      <c r="I10" s="7" t="s">
        <v>1211</v>
      </c>
      <c r="J10" s="7">
        <v>3.62081</v>
      </c>
      <c r="K10" s="7">
        <v>100.0</v>
      </c>
      <c r="L10" s="7" t="s">
        <v>15</v>
      </c>
      <c r="M10" s="7" t="s">
        <v>1211</v>
      </c>
      <c r="O10" s="7">
        <v>100.0</v>
      </c>
      <c r="P10" s="7" t="s">
        <v>15</v>
      </c>
      <c r="Q10" s="7" t="s">
        <v>1211</v>
      </c>
      <c r="S10" s="7">
        <v>100.0</v>
      </c>
      <c r="T10" s="7" t="s">
        <v>15</v>
      </c>
      <c r="U10" s="9">
        <f>STDEV(C2:C1000)</f>
        <v>6.446026746</v>
      </c>
      <c r="V10" s="9">
        <f>STDEV(G2:G1000)</f>
        <v>5.291179028</v>
      </c>
      <c r="W10" s="9">
        <f>STDEV(K2:K1000)</f>
        <v>15.02303119</v>
      </c>
      <c r="X10" s="9">
        <f>STDEV(O2:O1000)</f>
        <v>0</v>
      </c>
      <c r="Y10" s="9">
        <f>STDEV(S2:S1000)</f>
        <v>0</v>
      </c>
      <c r="Z10" s="7" t="s">
        <v>20</v>
      </c>
    </row>
    <row r="11">
      <c r="A11" s="7" t="s">
        <v>1212</v>
      </c>
      <c r="B11" s="7">
        <v>0.07189</v>
      </c>
      <c r="C11" s="7">
        <v>100.0</v>
      </c>
      <c r="D11" s="7" t="s">
        <v>15</v>
      </c>
      <c r="E11" s="7" t="s">
        <v>1212</v>
      </c>
      <c r="F11" s="7">
        <v>2.01208</v>
      </c>
      <c r="G11" s="7">
        <v>100.0</v>
      </c>
      <c r="H11" s="7" t="s">
        <v>15</v>
      </c>
      <c r="I11" s="7" t="s">
        <v>1212</v>
      </c>
      <c r="J11" s="7">
        <v>3.4945</v>
      </c>
      <c r="K11" s="7">
        <v>100.0</v>
      </c>
      <c r="L11" s="7" t="s">
        <v>15</v>
      </c>
      <c r="M11" s="7" t="s">
        <v>1212</v>
      </c>
      <c r="O11" s="7">
        <v>100.0</v>
      </c>
      <c r="P11" s="7" t="s">
        <v>15</v>
      </c>
      <c r="Q11" s="7" t="s">
        <v>1212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1213</v>
      </c>
      <c r="B12" s="7">
        <v>0.08015</v>
      </c>
      <c r="C12" s="7">
        <v>100.0</v>
      </c>
      <c r="D12" s="7" t="s">
        <v>15</v>
      </c>
      <c r="E12" s="7" t="s">
        <v>1213</v>
      </c>
      <c r="F12" s="7">
        <v>2.05566</v>
      </c>
      <c r="G12" s="7">
        <v>100.0</v>
      </c>
      <c r="H12" s="7" t="s">
        <v>15</v>
      </c>
      <c r="I12" s="7" t="s">
        <v>1213</v>
      </c>
      <c r="J12" s="7">
        <v>2.48088</v>
      </c>
      <c r="K12" s="7">
        <v>100.0</v>
      </c>
      <c r="L12" s="7" t="s">
        <v>15</v>
      </c>
      <c r="M12" s="7" t="s">
        <v>1213</v>
      </c>
      <c r="O12" s="7">
        <v>100.0</v>
      </c>
      <c r="P12" s="7" t="s">
        <v>15</v>
      </c>
      <c r="Q12" s="7" t="s">
        <v>1213</v>
      </c>
      <c r="S12" s="7">
        <v>100.0</v>
      </c>
      <c r="T12" s="7" t="s">
        <v>15</v>
      </c>
      <c r="U12" s="9">
        <f>MIN(C2:C1000)</f>
        <v>64.52</v>
      </c>
      <c r="V12" s="9">
        <f>MIN(G2:G1000)</f>
        <v>47.62</v>
      </c>
      <c r="W12" s="9">
        <f>MIN(K2:K1000)</f>
        <v>43.75</v>
      </c>
      <c r="X12" s="9">
        <f>MIN(O2:O1000)</f>
        <v>100</v>
      </c>
      <c r="Y12" s="9">
        <f>MIN(S2:S1000)</f>
        <v>100</v>
      </c>
      <c r="Z12" s="7" t="s">
        <v>24</v>
      </c>
    </row>
    <row r="13">
      <c r="A13" s="7" t="s">
        <v>1214</v>
      </c>
      <c r="B13" s="7">
        <v>0.07325</v>
      </c>
      <c r="C13" s="7">
        <v>100.0</v>
      </c>
      <c r="D13" s="7" t="s">
        <v>15</v>
      </c>
      <c r="E13" s="7" t="s">
        <v>1214</v>
      </c>
      <c r="F13" s="7">
        <v>1.94692</v>
      </c>
      <c r="G13" s="7">
        <v>100.0</v>
      </c>
      <c r="H13" s="7" t="s">
        <v>15</v>
      </c>
      <c r="I13" s="7" t="s">
        <v>1214</v>
      </c>
      <c r="J13" s="7">
        <v>2.73507</v>
      </c>
      <c r="K13" s="7">
        <v>100.0</v>
      </c>
      <c r="L13" s="7" t="s">
        <v>15</v>
      </c>
      <c r="M13" s="7" t="s">
        <v>1214</v>
      </c>
      <c r="O13" s="7">
        <v>100.0</v>
      </c>
      <c r="P13" s="7" t="s">
        <v>15</v>
      </c>
      <c r="Q13" s="7" t="s">
        <v>1214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1215</v>
      </c>
      <c r="B14" s="7">
        <v>0.07374</v>
      </c>
      <c r="C14" s="7">
        <v>100.0</v>
      </c>
      <c r="D14" s="7" t="s">
        <v>15</v>
      </c>
      <c r="E14" s="7" t="s">
        <v>1215</v>
      </c>
      <c r="F14" s="7">
        <v>2.75909</v>
      </c>
      <c r="G14" s="7">
        <v>100.0</v>
      </c>
      <c r="H14" s="7" t="s">
        <v>15</v>
      </c>
      <c r="I14" s="7" t="s">
        <v>1215</v>
      </c>
      <c r="J14" s="7">
        <v>4.00109</v>
      </c>
      <c r="K14" s="7">
        <v>100.0</v>
      </c>
      <c r="L14" s="7" t="s">
        <v>15</v>
      </c>
      <c r="M14" s="7" t="s">
        <v>1215</v>
      </c>
      <c r="O14" s="7">
        <v>100.0</v>
      </c>
      <c r="P14" s="7" t="s">
        <v>15</v>
      </c>
      <c r="Q14" s="7" t="s">
        <v>1215</v>
      </c>
      <c r="S14" s="7">
        <v>100.0</v>
      </c>
      <c r="T14" s="7" t="s">
        <v>15</v>
      </c>
      <c r="U14" s="8">
        <f t="shared" ref="U14:Y14" si="1">U15/(U15+U16+U17)</f>
        <v>0.9285714286</v>
      </c>
      <c r="V14" s="8">
        <f t="shared" si="1"/>
        <v>0.9897959184</v>
      </c>
      <c r="W14" s="8">
        <f t="shared" si="1"/>
        <v>0.8673469388</v>
      </c>
      <c r="X14" s="10">
        <f t="shared" si="1"/>
        <v>1</v>
      </c>
      <c r="Y14" s="10">
        <f t="shared" si="1"/>
        <v>1</v>
      </c>
      <c r="Z14" s="7" t="s">
        <v>44</v>
      </c>
    </row>
    <row r="15">
      <c r="A15" s="7" t="s">
        <v>1216</v>
      </c>
      <c r="B15" s="7">
        <v>0.14162</v>
      </c>
      <c r="C15" s="7">
        <v>100.0</v>
      </c>
      <c r="D15" s="7" t="s">
        <v>15</v>
      </c>
      <c r="E15" s="7" t="s">
        <v>1216</v>
      </c>
      <c r="F15" s="7">
        <v>1.94469</v>
      </c>
      <c r="G15" s="7">
        <v>100.0</v>
      </c>
      <c r="H15" s="7" t="s">
        <v>15</v>
      </c>
      <c r="I15" s="7" t="s">
        <v>1216</v>
      </c>
      <c r="J15" s="7">
        <v>3.71616</v>
      </c>
      <c r="K15" s="7">
        <v>100.0</v>
      </c>
      <c r="L15" s="7" t="s">
        <v>15</v>
      </c>
      <c r="M15" s="7" t="s">
        <v>1216</v>
      </c>
      <c r="O15" s="7">
        <v>100.0</v>
      </c>
      <c r="P15" s="7" t="s">
        <v>15</v>
      </c>
      <c r="Q15" s="7" t="s">
        <v>1216</v>
      </c>
      <c r="S15" s="7">
        <v>100.0</v>
      </c>
      <c r="T15" s="7" t="s">
        <v>15</v>
      </c>
      <c r="U15" s="10">
        <f>COUNTIF(D2:D1000,"VALID")</f>
        <v>91</v>
      </c>
      <c r="V15" s="10">
        <f>COUNTIF(H2:H1000,"VALID")</f>
        <v>97</v>
      </c>
      <c r="W15" s="10">
        <f>COUNTIF(L2:L1000,"VALID")</f>
        <v>85</v>
      </c>
      <c r="X15" s="10">
        <f>COUNTIF(P2:P1000,"VALID")</f>
        <v>98</v>
      </c>
      <c r="Y15" s="10">
        <f>COUNTIF(T2:T1000,"VALID")</f>
        <v>98</v>
      </c>
      <c r="Z15" s="7" t="s">
        <v>47</v>
      </c>
    </row>
    <row r="16">
      <c r="A16" s="7" t="s">
        <v>1217</v>
      </c>
      <c r="B16" s="7">
        <v>0.08594</v>
      </c>
      <c r="C16" s="7">
        <v>100.0</v>
      </c>
      <c r="D16" s="7" t="s">
        <v>15</v>
      </c>
      <c r="E16" s="7" t="s">
        <v>1217</v>
      </c>
      <c r="F16" s="7">
        <v>2.10785</v>
      </c>
      <c r="G16" s="7">
        <v>100.0</v>
      </c>
      <c r="H16" s="7" t="s">
        <v>15</v>
      </c>
      <c r="I16" s="7" t="s">
        <v>1217</v>
      </c>
      <c r="J16" s="7">
        <v>2.00469</v>
      </c>
      <c r="K16" s="7">
        <v>100.0</v>
      </c>
      <c r="L16" s="7" t="s">
        <v>15</v>
      </c>
      <c r="M16" s="7" t="s">
        <v>1217</v>
      </c>
      <c r="O16" s="7">
        <v>100.0</v>
      </c>
      <c r="P16" s="7" t="s">
        <v>15</v>
      </c>
      <c r="Q16" s="7" t="s">
        <v>1217</v>
      </c>
      <c r="S16" s="7">
        <v>100.0</v>
      </c>
      <c r="T16" s="7" t="s">
        <v>15</v>
      </c>
      <c r="U16" s="10">
        <f>COUNTIF(D2:D1000,"INVALID")</f>
        <v>7</v>
      </c>
      <c r="V16" s="10">
        <f>COUNTIF(H2:H1000,"INVALID")</f>
        <v>0</v>
      </c>
      <c r="W16" s="10">
        <f>COUNTIF(L2:L1000,"INVALID")</f>
        <v>11</v>
      </c>
      <c r="X16" s="10">
        <f>COUNTIF(P2:P1000,"INVALID")</f>
        <v>0</v>
      </c>
      <c r="Y16" s="10">
        <f>COUNTIF(T2:T1000,"INVALID")</f>
        <v>0</v>
      </c>
      <c r="Z16" s="7" t="s">
        <v>50</v>
      </c>
    </row>
    <row r="17">
      <c r="A17" s="7" t="s">
        <v>1218</v>
      </c>
      <c r="B17" s="7">
        <v>0.08304</v>
      </c>
      <c r="C17" s="7">
        <v>100.0</v>
      </c>
      <c r="D17" s="7" t="s">
        <v>15</v>
      </c>
      <c r="E17" s="7" t="s">
        <v>1218</v>
      </c>
      <c r="F17" s="7">
        <v>1.76563</v>
      </c>
      <c r="G17" s="7">
        <v>100.0</v>
      </c>
      <c r="H17" s="7" t="s">
        <v>15</v>
      </c>
      <c r="I17" s="7" t="s">
        <v>1218</v>
      </c>
      <c r="J17" s="7">
        <v>1.89981</v>
      </c>
      <c r="K17" s="7">
        <v>100.0</v>
      </c>
      <c r="L17" s="7" t="s">
        <v>15</v>
      </c>
      <c r="M17" s="7" t="s">
        <v>1218</v>
      </c>
      <c r="O17" s="7">
        <v>100.0</v>
      </c>
      <c r="P17" s="7" t="s">
        <v>15</v>
      </c>
      <c r="Q17" s="7" t="s">
        <v>1218</v>
      </c>
      <c r="S17" s="7">
        <v>100.0</v>
      </c>
      <c r="T17" s="7" t="s">
        <v>15</v>
      </c>
      <c r="U17" s="10">
        <f>COUNTIF(D2:D1000,"ERROR")</f>
        <v>0</v>
      </c>
      <c r="V17" s="10">
        <f>COUNTIF(H2:H1000,"ERROR")</f>
        <v>1</v>
      </c>
      <c r="W17" s="10">
        <f>COUNTIF(L2:L1000,"ERROR")</f>
        <v>2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1219</v>
      </c>
      <c r="B18" s="7">
        <v>0.1532</v>
      </c>
      <c r="C18" s="7">
        <v>100.0</v>
      </c>
      <c r="D18" s="7" t="s">
        <v>15</v>
      </c>
      <c r="E18" s="7" t="s">
        <v>1219</v>
      </c>
      <c r="F18" s="7">
        <v>1.69801</v>
      </c>
      <c r="G18" s="7">
        <v>100.0</v>
      </c>
      <c r="H18" s="7" t="s">
        <v>15</v>
      </c>
      <c r="I18" s="7" t="s">
        <v>1219</v>
      </c>
      <c r="J18" s="7">
        <v>1.88405</v>
      </c>
      <c r="K18" s="7">
        <v>100.0</v>
      </c>
      <c r="L18" s="7" t="s">
        <v>15</v>
      </c>
      <c r="M18" s="7" t="s">
        <v>1219</v>
      </c>
      <c r="O18" s="7">
        <v>100.0</v>
      </c>
      <c r="P18" s="7" t="s">
        <v>15</v>
      </c>
      <c r="Q18" s="7" t="s">
        <v>1219</v>
      </c>
      <c r="S18" s="7">
        <v>100.0</v>
      </c>
      <c r="T18" s="7" t="s">
        <v>15</v>
      </c>
      <c r="U18" s="11">
        <f t="shared" ref="U18:Y18" si="2">U17/(U17+U16+U15)</f>
        <v>0</v>
      </c>
      <c r="V18" s="11">
        <f t="shared" si="2"/>
        <v>0.01020408163</v>
      </c>
      <c r="W18" s="11">
        <f t="shared" si="2"/>
        <v>0.02040816327</v>
      </c>
      <c r="X18" s="11">
        <f t="shared" si="2"/>
        <v>0</v>
      </c>
      <c r="Y18" s="11">
        <f t="shared" si="2"/>
        <v>0</v>
      </c>
      <c r="Z18" s="17" t="s">
        <v>57</v>
      </c>
    </row>
    <row r="19">
      <c r="A19" s="7" t="s">
        <v>1220</v>
      </c>
      <c r="B19" s="7">
        <v>0.08337</v>
      </c>
      <c r="C19" s="7">
        <v>100.0</v>
      </c>
      <c r="D19" s="7" t="s">
        <v>15</v>
      </c>
      <c r="E19" s="7" t="s">
        <v>1220</v>
      </c>
      <c r="F19" s="7">
        <v>1.70052</v>
      </c>
      <c r="G19" s="7">
        <v>100.0</v>
      </c>
      <c r="H19" s="7" t="s">
        <v>15</v>
      </c>
      <c r="I19" s="7" t="s">
        <v>1220</v>
      </c>
      <c r="J19" s="7">
        <v>3.11278</v>
      </c>
      <c r="K19" s="7">
        <v>100.0</v>
      </c>
      <c r="L19" s="7" t="s">
        <v>15</v>
      </c>
      <c r="M19" s="7" t="s">
        <v>1220</v>
      </c>
      <c r="O19" s="7">
        <v>100.0</v>
      </c>
      <c r="P19" s="7" t="s">
        <v>15</v>
      </c>
      <c r="Q19" s="7" t="s">
        <v>1220</v>
      </c>
      <c r="S19" s="7">
        <v>100.0</v>
      </c>
      <c r="T19" s="7" t="s">
        <v>15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1221</v>
      </c>
      <c r="B20" s="7">
        <v>0.08321</v>
      </c>
      <c r="C20" s="7">
        <v>100.0</v>
      </c>
      <c r="D20" s="7" t="s">
        <v>15</v>
      </c>
      <c r="E20" s="7" t="s">
        <v>1221</v>
      </c>
      <c r="F20" s="7">
        <v>4.05991</v>
      </c>
      <c r="G20" s="7">
        <v>100.0</v>
      </c>
      <c r="H20" s="7" t="s">
        <v>15</v>
      </c>
      <c r="I20" s="7" t="s">
        <v>1221</v>
      </c>
      <c r="J20" s="7">
        <v>2.12228</v>
      </c>
      <c r="K20" s="7">
        <v>100.0</v>
      </c>
      <c r="L20" s="7" t="s">
        <v>15</v>
      </c>
      <c r="M20" s="7" t="s">
        <v>1221</v>
      </c>
      <c r="O20" s="7">
        <v>100.0</v>
      </c>
      <c r="P20" s="7" t="s">
        <v>15</v>
      </c>
      <c r="Q20" s="7" t="s">
        <v>1221</v>
      </c>
      <c r="S20" s="7">
        <v>100.0</v>
      </c>
      <c r="T20" s="7" t="s">
        <v>15</v>
      </c>
      <c r="U20" s="8">
        <f>COUNTIF(C2:C1000,100)/COUNTA(A2:A1000)</f>
        <v>0.9285714286</v>
      </c>
      <c r="V20" s="8">
        <f>COUNTIF(G2:G1000,100)/COUNTA(E2:E1000)</f>
        <v>0.9897959184</v>
      </c>
      <c r="W20" s="8">
        <f>COUNTIF(K2:K1000,100)/COUNTA(I2:I1000)</f>
        <v>0.8673469388</v>
      </c>
      <c r="X20" s="10">
        <f>COUNTIF(O2:O1000,100)/COUNTA(M2:M1000)</f>
        <v>1</v>
      </c>
      <c r="Y20" s="10">
        <f>COUNTIF(S2:S1000,100)/COUNTA(Q2:Q1000)</f>
        <v>1</v>
      </c>
      <c r="Z20" s="7" t="s">
        <v>63</v>
      </c>
    </row>
    <row r="21">
      <c r="A21" s="7" t="s">
        <v>1222</v>
      </c>
      <c r="B21" s="7">
        <v>0.10038</v>
      </c>
      <c r="C21" s="7">
        <v>100.0</v>
      </c>
      <c r="D21" s="7" t="s">
        <v>15</v>
      </c>
      <c r="E21" s="7" t="s">
        <v>1222</v>
      </c>
      <c r="F21" s="7">
        <v>2.811</v>
      </c>
      <c r="G21" s="7">
        <v>100.0</v>
      </c>
      <c r="H21" s="7" t="s">
        <v>15</v>
      </c>
      <c r="I21" s="7" t="s">
        <v>1222</v>
      </c>
      <c r="J21" s="7">
        <v>2.25511</v>
      </c>
      <c r="K21" s="7">
        <v>100.0</v>
      </c>
      <c r="L21" s="7" t="s">
        <v>15</v>
      </c>
      <c r="M21" s="7" t="s">
        <v>1222</v>
      </c>
      <c r="O21" s="7">
        <v>100.0</v>
      </c>
      <c r="P21" s="7" t="s">
        <v>15</v>
      </c>
      <c r="Q21" s="7" t="s">
        <v>1222</v>
      </c>
      <c r="S21" s="7">
        <v>100.0</v>
      </c>
      <c r="T21" s="7" t="s">
        <v>15</v>
      </c>
      <c r="U21" s="10">
        <f>COUNTIF(C2:C1000,100)</f>
        <v>91</v>
      </c>
      <c r="V21" s="10">
        <f>COUNTIF(G2:G1000,100)</f>
        <v>97</v>
      </c>
      <c r="W21" s="10">
        <f>COUNTIF(K2:K1000,100)</f>
        <v>85</v>
      </c>
      <c r="X21" s="10">
        <f>COUNTIF(O2:O1000,100)</f>
        <v>98</v>
      </c>
      <c r="Y21" s="10">
        <f>COUNTIF(S2:S1000,100)</f>
        <v>98</v>
      </c>
      <c r="Z21" s="7" t="s">
        <v>65</v>
      </c>
    </row>
    <row r="22">
      <c r="A22" s="7" t="s">
        <v>1223</v>
      </c>
      <c r="B22" s="7">
        <v>0.17489</v>
      </c>
      <c r="C22" s="7">
        <v>100.0</v>
      </c>
      <c r="D22" s="7" t="s">
        <v>15</v>
      </c>
      <c r="E22" s="7" t="s">
        <v>1223</v>
      </c>
      <c r="F22" s="7">
        <v>2.88891</v>
      </c>
      <c r="G22" s="7">
        <v>100.0</v>
      </c>
      <c r="H22" s="7" t="s">
        <v>15</v>
      </c>
      <c r="I22" s="7" t="s">
        <v>1223</v>
      </c>
      <c r="J22" s="7">
        <v>1.82207</v>
      </c>
      <c r="K22" s="7">
        <v>100.0</v>
      </c>
      <c r="L22" s="7" t="s">
        <v>15</v>
      </c>
      <c r="M22" s="7" t="s">
        <v>1223</v>
      </c>
      <c r="O22" s="7">
        <v>100.0</v>
      </c>
      <c r="P22" s="7" t="s">
        <v>15</v>
      </c>
      <c r="Q22" s="7" t="s">
        <v>1223</v>
      </c>
      <c r="S22" s="7">
        <v>100.0</v>
      </c>
      <c r="T22" s="7" t="s">
        <v>15</v>
      </c>
      <c r="U22" s="10">
        <f>COUNTA(A2:A1000)-COUNTIF(C2:C1000,100)</f>
        <v>7</v>
      </c>
      <c r="V22" s="10">
        <f>COUNTA(E2:E1000)-COUNTIF(G2:G1000,100)</f>
        <v>1</v>
      </c>
      <c r="W22" s="10">
        <f>COUNTA(I2:I1000)-COUNTIF(K2:K1000,100)</f>
        <v>13</v>
      </c>
      <c r="X22" s="10">
        <f>COUNTA(M2:M1000)-COUNTIF(O2:O1000,100)</f>
        <v>0</v>
      </c>
      <c r="Y22" s="10">
        <f>COUNTA(Q2:Q1000)-COUNTIF(S2:S1000,100)</f>
        <v>0</v>
      </c>
      <c r="Z22" s="7" t="s">
        <v>69</v>
      </c>
    </row>
    <row r="23">
      <c r="A23" s="7" t="s">
        <v>1224</v>
      </c>
      <c r="B23" s="7">
        <v>0.07773</v>
      </c>
      <c r="C23" s="7">
        <v>100.0</v>
      </c>
      <c r="D23" s="7" t="s">
        <v>15</v>
      </c>
      <c r="E23" s="7" t="s">
        <v>1224</v>
      </c>
      <c r="F23" s="7">
        <v>1.85732</v>
      </c>
      <c r="G23" s="7">
        <v>100.0</v>
      </c>
      <c r="H23" s="7" t="s">
        <v>15</v>
      </c>
      <c r="I23" s="7" t="s">
        <v>1224</v>
      </c>
      <c r="J23" s="7">
        <v>2.255</v>
      </c>
      <c r="K23" s="7">
        <v>100.0</v>
      </c>
      <c r="L23" s="7" t="s">
        <v>15</v>
      </c>
      <c r="M23" s="7" t="s">
        <v>1224</v>
      </c>
      <c r="O23" s="7">
        <v>100.0</v>
      </c>
      <c r="P23" s="7" t="s">
        <v>15</v>
      </c>
      <c r="Q23" s="7" t="s">
        <v>1224</v>
      </c>
      <c r="S23" s="7">
        <v>100.0</v>
      </c>
      <c r="T23" s="7" t="s">
        <v>15</v>
      </c>
    </row>
    <row r="24">
      <c r="A24" s="7" t="s">
        <v>1225</v>
      </c>
      <c r="B24" s="7">
        <v>0.15997</v>
      </c>
      <c r="C24" s="7">
        <v>100.0</v>
      </c>
      <c r="D24" s="7" t="s">
        <v>15</v>
      </c>
      <c r="E24" s="7" t="s">
        <v>1225</v>
      </c>
      <c r="F24" s="7">
        <v>2.04484</v>
      </c>
      <c r="G24" s="7">
        <v>100.0</v>
      </c>
      <c r="H24" s="7" t="s">
        <v>15</v>
      </c>
      <c r="I24" s="7" t="s">
        <v>1225</v>
      </c>
      <c r="J24" s="7">
        <v>2.47168</v>
      </c>
      <c r="K24" s="7">
        <v>100.0</v>
      </c>
      <c r="L24" s="7" t="s">
        <v>15</v>
      </c>
      <c r="M24" s="7" t="s">
        <v>1225</v>
      </c>
      <c r="O24" s="7">
        <v>100.0</v>
      </c>
      <c r="P24" s="7" t="s">
        <v>15</v>
      </c>
      <c r="Q24" s="7" t="s">
        <v>1225</v>
      </c>
      <c r="S24" s="7">
        <v>100.0</v>
      </c>
      <c r="T24" s="7" t="s">
        <v>15</v>
      </c>
    </row>
    <row r="25">
      <c r="A25" s="7" t="s">
        <v>1226</v>
      </c>
      <c r="B25" s="7">
        <v>0.09726</v>
      </c>
      <c r="C25" s="7">
        <v>100.0</v>
      </c>
      <c r="D25" s="7" t="s">
        <v>15</v>
      </c>
      <c r="E25" s="7" t="s">
        <v>1226</v>
      </c>
      <c r="F25" s="7">
        <v>2.07326</v>
      </c>
      <c r="G25" s="7">
        <v>100.0</v>
      </c>
      <c r="H25" s="7" t="s">
        <v>15</v>
      </c>
      <c r="I25" s="7" t="s">
        <v>1226</v>
      </c>
      <c r="J25" s="7">
        <v>2.17218</v>
      </c>
      <c r="K25" s="7">
        <v>100.0</v>
      </c>
      <c r="L25" s="7" t="s">
        <v>15</v>
      </c>
      <c r="M25" s="7" t="s">
        <v>1226</v>
      </c>
      <c r="O25" s="7">
        <v>100.0</v>
      </c>
      <c r="P25" s="7" t="s">
        <v>15</v>
      </c>
      <c r="Q25" s="7" t="s">
        <v>1226</v>
      </c>
      <c r="S25" s="7">
        <v>100.0</v>
      </c>
      <c r="T25" s="7" t="s">
        <v>15</v>
      </c>
    </row>
    <row r="26">
      <c r="A26" s="7" t="s">
        <v>1227</v>
      </c>
      <c r="B26" s="7">
        <v>0.06733</v>
      </c>
      <c r="C26" s="7">
        <v>100.0</v>
      </c>
      <c r="D26" s="7" t="s">
        <v>15</v>
      </c>
      <c r="E26" s="7" t="s">
        <v>1227</v>
      </c>
      <c r="F26" s="7">
        <v>2.01748</v>
      </c>
      <c r="G26" s="7">
        <v>100.0</v>
      </c>
      <c r="H26" s="7" t="s">
        <v>15</v>
      </c>
      <c r="I26" s="7" t="s">
        <v>1227</v>
      </c>
      <c r="J26" s="7">
        <v>1.80292</v>
      </c>
      <c r="K26" s="7">
        <v>100.0</v>
      </c>
      <c r="L26" s="7" t="s">
        <v>15</v>
      </c>
      <c r="M26" s="7" t="s">
        <v>1227</v>
      </c>
      <c r="O26" s="7">
        <v>100.0</v>
      </c>
      <c r="P26" s="7" t="s">
        <v>15</v>
      </c>
      <c r="Q26" s="7" t="s">
        <v>1227</v>
      </c>
      <c r="S26" s="7">
        <v>100.0</v>
      </c>
      <c r="T26" s="7" t="s">
        <v>15</v>
      </c>
    </row>
    <row r="27">
      <c r="A27" s="7" t="s">
        <v>1228</v>
      </c>
      <c r="B27" s="7">
        <v>0.06727</v>
      </c>
      <c r="C27" s="7">
        <v>100.0</v>
      </c>
      <c r="D27" s="7" t="s">
        <v>15</v>
      </c>
      <c r="E27" s="7" t="s">
        <v>1228</v>
      </c>
      <c r="F27" s="7">
        <v>1.98305</v>
      </c>
      <c r="G27" s="7">
        <v>100.0</v>
      </c>
      <c r="H27" s="7" t="s">
        <v>15</v>
      </c>
      <c r="I27" s="7" t="s">
        <v>1228</v>
      </c>
      <c r="J27" s="7">
        <v>2.24993</v>
      </c>
      <c r="K27" s="7">
        <v>100.0</v>
      </c>
      <c r="L27" s="7" t="s">
        <v>15</v>
      </c>
      <c r="M27" s="7" t="s">
        <v>1228</v>
      </c>
      <c r="O27" s="7">
        <v>100.0</v>
      </c>
      <c r="P27" s="7" t="s">
        <v>15</v>
      </c>
      <c r="Q27" s="7" t="s">
        <v>1228</v>
      </c>
      <c r="S27" s="7">
        <v>100.0</v>
      </c>
      <c r="T27" s="7" t="s">
        <v>15</v>
      </c>
    </row>
    <row r="28">
      <c r="A28" s="7" t="s">
        <v>1229</v>
      </c>
      <c r="B28" s="7">
        <v>0.11015</v>
      </c>
      <c r="C28" s="7">
        <v>100.0</v>
      </c>
      <c r="D28" s="7" t="s">
        <v>15</v>
      </c>
      <c r="E28" s="7" t="s">
        <v>1229</v>
      </c>
      <c r="F28" s="7">
        <v>1.62339</v>
      </c>
      <c r="G28" s="7">
        <v>100.0</v>
      </c>
      <c r="H28" s="7" t="s">
        <v>15</v>
      </c>
      <c r="I28" s="7" t="s">
        <v>1229</v>
      </c>
      <c r="J28" s="7">
        <v>1.88969</v>
      </c>
      <c r="K28" s="7">
        <v>100.0</v>
      </c>
      <c r="L28" s="7" t="s">
        <v>15</v>
      </c>
      <c r="M28" s="7" t="s">
        <v>1229</v>
      </c>
      <c r="O28" s="7">
        <v>100.0</v>
      </c>
      <c r="P28" s="7" t="s">
        <v>15</v>
      </c>
      <c r="Q28" s="7" t="s">
        <v>1229</v>
      </c>
      <c r="S28" s="7">
        <v>100.0</v>
      </c>
      <c r="T28" s="7" t="s">
        <v>15</v>
      </c>
    </row>
    <row r="29">
      <c r="A29" s="7" t="s">
        <v>1230</v>
      </c>
      <c r="B29" s="7">
        <v>0.06828</v>
      </c>
      <c r="C29" s="7">
        <v>100.0</v>
      </c>
      <c r="D29" s="7" t="s">
        <v>15</v>
      </c>
      <c r="E29" s="7" t="s">
        <v>1230</v>
      </c>
      <c r="F29" s="7">
        <v>1.74131</v>
      </c>
      <c r="G29" s="7">
        <v>100.0</v>
      </c>
      <c r="H29" s="7" t="s">
        <v>15</v>
      </c>
      <c r="I29" s="7" t="s">
        <v>1230</v>
      </c>
      <c r="J29" s="7">
        <v>2.06223</v>
      </c>
      <c r="K29" s="7">
        <v>100.0</v>
      </c>
      <c r="L29" s="7" t="s">
        <v>15</v>
      </c>
      <c r="M29" s="7" t="s">
        <v>1230</v>
      </c>
      <c r="O29" s="7">
        <v>100.0</v>
      </c>
      <c r="P29" s="7" t="s">
        <v>15</v>
      </c>
      <c r="Q29" s="7" t="s">
        <v>1230</v>
      </c>
      <c r="S29" s="7">
        <v>100.0</v>
      </c>
      <c r="T29" s="7" t="s">
        <v>15</v>
      </c>
    </row>
    <row r="30">
      <c r="A30" s="7" t="s">
        <v>1231</v>
      </c>
      <c r="B30" s="7">
        <v>0.06146</v>
      </c>
      <c r="C30" s="7">
        <v>100.0</v>
      </c>
      <c r="D30" s="7" t="s">
        <v>15</v>
      </c>
      <c r="E30" s="7" t="s">
        <v>1231</v>
      </c>
      <c r="F30" s="7">
        <v>2.21465</v>
      </c>
      <c r="G30" s="7">
        <v>100.0</v>
      </c>
      <c r="H30" s="7" t="s">
        <v>15</v>
      </c>
      <c r="I30" s="7" t="s">
        <v>1231</v>
      </c>
      <c r="J30" s="7">
        <v>2.06368</v>
      </c>
      <c r="K30" s="7">
        <v>100.0</v>
      </c>
      <c r="L30" s="7" t="s">
        <v>15</v>
      </c>
      <c r="M30" s="7" t="s">
        <v>1231</v>
      </c>
      <c r="O30" s="7">
        <v>100.0</v>
      </c>
      <c r="P30" s="7" t="s">
        <v>15</v>
      </c>
      <c r="Q30" s="7" t="s">
        <v>1231</v>
      </c>
      <c r="S30" s="7">
        <v>100.0</v>
      </c>
      <c r="T30" s="7" t="s">
        <v>15</v>
      </c>
    </row>
    <row r="31">
      <c r="A31" s="7" t="s">
        <v>1232</v>
      </c>
      <c r="B31" s="7">
        <v>0.05532</v>
      </c>
      <c r="C31" s="7">
        <v>100.0</v>
      </c>
      <c r="D31" s="7" t="s">
        <v>15</v>
      </c>
      <c r="E31" s="7" t="s">
        <v>1232</v>
      </c>
      <c r="F31" s="7">
        <v>1.8802</v>
      </c>
      <c r="G31" s="7">
        <v>100.0</v>
      </c>
      <c r="H31" s="7" t="s">
        <v>15</v>
      </c>
      <c r="I31" s="7" t="s">
        <v>1232</v>
      </c>
      <c r="J31" s="7">
        <v>2.19821</v>
      </c>
      <c r="K31" s="7">
        <v>100.0</v>
      </c>
      <c r="L31" s="7" t="s">
        <v>15</v>
      </c>
      <c r="M31" s="7" t="s">
        <v>1232</v>
      </c>
      <c r="O31" s="7">
        <v>100.0</v>
      </c>
      <c r="P31" s="7" t="s">
        <v>15</v>
      </c>
      <c r="Q31" s="7" t="s">
        <v>1232</v>
      </c>
      <c r="S31" s="7">
        <v>100.0</v>
      </c>
      <c r="T31" s="7" t="s">
        <v>15</v>
      </c>
    </row>
    <row r="32">
      <c r="A32" s="7" t="s">
        <v>1233</v>
      </c>
      <c r="B32" s="7">
        <v>0.08001</v>
      </c>
      <c r="C32" s="7">
        <v>100.0</v>
      </c>
      <c r="D32" s="7" t="s">
        <v>15</v>
      </c>
      <c r="E32" s="7" t="s">
        <v>1233</v>
      </c>
      <c r="F32" s="7">
        <v>1.98843</v>
      </c>
      <c r="G32" s="7">
        <v>100.0</v>
      </c>
      <c r="H32" s="7" t="s">
        <v>15</v>
      </c>
      <c r="I32" s="7" t="s">
        <v>1233</v>
      </c>
      <c r="J32" s="7">
        <v>3.27694</v>
      </c>
      <c r="K32" s="7">
        <v>100.0</v>
      </c>
      <c r="L32" s="7" t="s">
        <v>15</v>
      </c>
      <c r="M32" s="7" t="s">
        <v>1233</v>
      </c>
      <c r="O32" s="7">
        <v>100.0</v>
      </c>
      <c r="P32" s="7" t="s">
        <v>15</v>
      </c>
      <c r="Q32" s="7" t="s">
        <v>1233</v>
      </c>
      <c r="S32" s="7">
        <v>100.0</v>
      </c>
      <c r="T32" s="7" t="s">
        <v>15</v>
      </c>
    </row>
    <row r="33">
      <c r="A33" s="7" t="s">
        <v>1234</v>
      </c>
      <c r="B33" s="7">
        <v>0.07472</v>
      </c>
      <c r="C33" s="7">
        <v>100.0</v>
      </c>
      <c r="D33" s="7" t="s">
        <v>15</v>
      </c>
      <c r="E33" s="7" t="s">
        <v>1234</v>
      </c>
      <c r="F33" s="7">
        <v>1.66745</v>
      </c>
      <c r="G33" s="7">
        <v>100.0</v>
      </c>
      <c r="H33" s="7" t="s">
        <v>15</v>
      </c>
      <c r="I33" s="7" t="s">
        <v>1234</v>
      </c>
      <c r="J33" s="7">
        <v>1.83472</v>
      </c>
      <c r="K33" s="7">
        <v>100.0</v>
      </c>
      <c r="L33" s="7" t="s">
        <v>15</v>
      </c>
      <c r="M33" s="7" t="s">
        <v>1234</v>
      </c>
      <c r="O33" s="7">
        <v>100.0</v>
      </c>
      <c r="P33" s="7" t="s">
        <v>15</v>
      </c>
      <c r="Q33" s="7" t="s">
        <v>1234</v>
      </c>
      <c r="S33" s="7">
        <v>100.0</v>
      </c>
      <c r="T33" s="7" t="s">
        <v>15</v>
      </c>
    </row>
    <row r="34">
      <c r="A34" s="7" t="s">
        <v>1235</v>
      </c>
      <c r="B34" s="7">
        <v>0.07269</v>
      </c>
      <c r="C34" s="7">
        <v>100.0</v>
      </c>
      <c r="D34" s="7" t="s">
        <v>15</v>
      </c>
      <c r="E34" s="7" t="s">
        <v>1235</v>
      </c>
      <c r="F34" s="7">
        <v>1.77169</v>
      </c>
      <c r="G34" s="7">
        <v>100.0</v>
      </c>
      <c r="H34" s="7" t="s">
        <v>15</v>
      </c>
      <c r="I34" s="7" t="s">
        <v>1235</v>
      </c>
      <c r="J34" s="7">
        <v>1.96963</v>
      </c>
      <c r="K34" s="7">
        <v>100.0</v>
      </c>
      <c r="L34" s="7" t="s">
        <v>15</v>
      </c>
      <c r="M34" s="7" t="s">
        <v>1235</v>
      </c>
      <c r="O34" s="7">
        <v>100.0</v>
      </c>
      <c r="P34" s="7" t="s">
        <v>15</v>
      </c>
      <c r="Q34" s="7" t="s">
        <v>1235</v>
      </c>
      <c r="S34" s="7">
        <v>100.0</v>
      </c>
      <c r="T34" s="7" t="s">
        <v>15</v>
      </c>
    </row>
    <row r="35">
      <c r="A35" s="7" t="s">
        <v>1236</v>
      </c>
      <c r="B35" s="7">
        <v>0.09849</v>
      </c>
      <c r="C35" s="7">
        <v>100.0</v>
      </c>
      <c r="D35" s="7" t="s">
        <v>15</v>
      </c>
      <c r="E35" s="7" t="s">
        <v>1236</v>
      </c>
      <c r="F35" s="7">
        <v>2.0853</v>
      </c>
      <c r="G35" s="7">
        <v>100.0</v>
      </c>
      <c r="H35" s="7" t="s">
        <v>15</v>
      </c>
      <c r="I35" s="7" t="s">
        <v>1236</v>
      </c>
      <c r="J35" s="7">
        <v>3.0256</v>
      </c>
      <c r="K35" s="7">
        <v>100.0</v>
      </c>
      <c r="L35" s="7" t="s">
        <v>15</v>
      </c>
      <c r="M35" s="7" t="s">
        <v>1236</v>
      </c>
      <c r="O35" s="7">
        <v>100.0</v>
      </c>
      <c r="P35" s="7" t="s">
        <v>15</v>
      </c>
      <c r="Q35" s="7" t="s">
        <v>1236</v>
      </c>
      <c r="S35" s="7">
        <v>100.0</v>
      </c>
      <c r="T35" s="7" t="s">
        <v>15</v>
      </c>
    </row>
    <row r="36">
      <c r="A36" s="7" t="s">
        <v>1237</v>
      </c>
      <c r="B36" s="7">
        <v>0.08523</v>
      </c>
      <c r="C36" s="7">
        <v>100.0</v>
      </c>
      <c r="D36" s="7" t="s">
        <v>15</v>
      </c>
      <c r="E36" s="7" t="s">
        <v>1237</v>
      </c>
      <c r="F36" s="7">
        <v>2.03215</v>
      </c>
      <c r="G36" s="7">
        <v>100.0</v>
      </c>
      <c r="H36" s="7" t="s">
        <v>15</v>
      </c>
      <c r="I36" s="7" t="s">
        <v>1237</v>
      </c>
      <c r="J36" s="7">
        <v>2.12678</v>
      </c>
      <c r="K36" s="7">
        <v>100.0</v>
      </c>
      <c r="L36" s="7" t="s">
        <v>15</v>
      </c>
      <c r="M36" s="7" t="s">
        <v>1237</v>
      </c>
      <c r="O36" s="7">
        <v>100.0</v>
      </c>
      <c r="P36" s="7" t="s">
        <v>15</v>
      </c>
      <c r="Q36" s="7" t="s">
        <v>1237</v>
      </c>
      <c r="S36" s="7">
        <v>100.0</v>
      </c>
      <c r="T36" s="7" t="s">
        <v>15</v>
      </c>
    </row>
    <row r="37">
      <c r="A37" s="7" t="s">
        <v>1238</v>
      </c>
      <c r="B37" s="7">
        <v>0.29585</v>
      </c>
      <c r="C37" s="7">
        <v>100.0</v>
      </c>
      <c r="D37" s="7" t="s">
        <v>15</v>
      </c>
      <c r="E37" s="7" t="s">
        <v>1238</v>
      </c>
      <c r="F37" s="7">
        <v>1.93439</v>
      </c>
      <c r="G37" s="7">
        <v>100.0</v>
      </c>
      <c r="H37" s="7" t="s">
        <v>15</v>
      </c>
      <c r="I37" s="7" t="s">
        <v>1238</v>
      </c>
      <c r="J37" s="7">
        <v>2.06734</v>
      </c>
      <c r="K37" s="7">
        <v>100.0</v>
      </c>
      <c r="L37" s="7" t="s">
        <v>15</v>
      </c>
      <c r="M37" s="7" t="s">
        <v>1238</v>
      </c>
      <c r="O37" s="7">
        <v>100.0</v>
      </c>
      <c r="P37" s="7" t="s">
        <v>15</v>
      </c>
      <c r="Q37" s="7" t="s">
        <v>1238</v>
      </c>
      <c r="S37" s="7">
        <v>100.0</v>
      </c>
      <c r="T37" s="7" t="s">
        <v>15</v>
      </c>
    </row>
    <row r="38">
      <c r="A38" s="7" t="s">
        <v>1239</v>
      </c>
      <c r="B38" s="7">
        <v>0.22094</v>
      </c>
      <c r="C38" s="7">
        <v>100.0</v>
      </c>
      <c r="D38" s="7" t="s">
        <v>15</v>
      </c>
      <c r="E38" s="7" t="s">
        <v>1239</v>
      </c>
      <c r="F38" s="7">
        <v>2.1032</v>
      </c>
      <c r="G38" s="7">
        <v>100.0</v>
      </c>
      <c r="H38" s="7" t="s">
        <v>15</v>
      </c>
      <c r="I38" s="7" t="s">
        <v>1239</v>
      </c>
      <c r="J38" s="7">
        <v>2.56213</v>
      </c>
      <c r="K38" s="7">
        <v>100.0</v>
      </c>
      <c r="L38" s="7" t="s">
        <v>15</v>
      </c>
      <c r="M38" s="7" t="s">
        <v>1239</v>
      </c>
      <c r="O38" s="7">
        <v>100.0</v>
      </c>
      <c r="P38" s="7" t="s">
        <v>15</v>
      </c>
      <c r="Q38" s="7" t="s">
        <v>1239</v>
      </c>
      <c r="S38" s="7">
        <v>100.0</v>
      </c>
      <c r="T38" s="7" t="s">
        <v>15</v>
      </c>
    </row>
    <row r="39">
      <c r="A39" s="7" t="s">
        <v>1240</v>
      </c>
      <c r="B39" s="7">
        <v>0.12539</v>
      </c>
      <c r="C39" s="7">
        <v>100.0</v>
      </c>
      <c r="D39" s="7" t="s">
        <v>15</v>
      </c>
      <c r="E39" s="7" t="s">
        <v>1240</v>
      </c>
      <c r="F39" s="7">
        <v>2.13283</v>
      </c>
      <c r="G39" s="7">
        <v>100.0</v>
      </c>
      <c r="H39" s="7" t="s">
        <v>15</v>
      </c>
      <c r="I39" s="7" t="s">
        <v>1240</v>
      </c>
      <c r="J39" s="7">
        <v>2.32459</v>
      </c>
      <c r="K39" s="7">
        <v>100.0</v>
      </c>
      <c r="L39" s="7" t="s">
        <v>15</v>
      </c>
      <c r="M39" s="7" t="s">
        <v>1240</v>
      </c>
      <c r="O39" s="7">
        <v>100.0</v>
      </c>
      <c r="P39" s="7" t="s">
        <v>15</v>
      </c>
      <c r="Q39" s="7" t="s">
        <v>1240</v>
      </c>
      <c r="S39" s="7">
        <v>100.0</v>
      </c>
      <c r="T39" s="7" t="s">
        <v>15</v>
      </c>
    </row>
    <row r="40">
      <c r="A40" s="7" t="s">
        <v>1241</v>
      </c>
      <c r="B40" s="7">
        <v>0.1336</v>
      </c>
      <c r="C40" s="7">
        <v>100.0</v>
      </c>
      <c r="D40" s="7" t="s">
        <v>15</v>
      </c>
      <c r="E40" s="7" t="s">
        <v>1241</v>
      </c>
      <c r="F40" s="7">
        <v>2.0283</v>
      </c>
      <c r="G40" s="7">
        <v>100.0</v>
      </c>
      <c r="H40" s="7" t="s">
        <v>15</v>
      </c>
      <c r="I40" s="7" t="s">
        <v>1241</v>
      </c>
      <c r="J40" s="7">
        <v>2.12118</v>
      </c>
      <c r="K40" s="7">
        <v>100.0</v>
      </c>
      <c r="L40" s="7" t="s">
        <v>15</v>
      </c>
      <c r="M40" s="7" t="s">
        <v>1241</v>
      </c>
      <c r="O40" s="7">
        <v>100.0</v>
      </c>
      <c r="P40" s="7" t="s">
        <v>15</v>
      </c>
      <c r="Q40" s="7" t="s">
        <v>1241</v>
      </c>
      <c r="S40" s="7">
        <v>100.0</v>
      </c>
      <c r="T40" s="7" t="s">
        <v>15</v>
      </c>
    </row>
    <row r="41">
      <c r="A41" s="7" t="s">
        <v>1242</v>
      </c>
      <c r="B41" s="7">
        <v>0.54029</v>
      </c>
      <c r="C41" s="7">
        <v>100.0</v>
      </c>
      <c r="D41" s="7" t="s">
        <v>15</v>
      </c>
      <c r="E41" s="7" t="s">
        <v>1242</v>
      </c>
      <c r="F41" s="7">
        <v>1.77351</v>
      </c>
      <c r="G41" s="7">
        <v>100.0</v>
      </c>
      <c r="H41" s="7" t="s">
        <v>15</v>
      </c>
      <c r="I41" s="7" t="s">
        <v>1243</v>
      </c>
      <c r="J41" s="7">
        <v>2.29367</v>
      </c>
      <c r="K41" s="7">
        <v>75.0</v>
      </c>
      <c r="L41" s="7" t="s">
        <v>26</v>
      </c>
      <c r="M41" s="7" t="s">
        <v>1242</v>
      </c>
      <c r="O41" s="7">
        <v>100.0</v>
      </c>
      <c r="P41" s="7" t="s">
        <v>15</v>
      </c>
      <c r="Q41" s="7" t="s">
        <v>1242</v>
      </c>
      <c r="S41" s="7">
        <v>100.0</v>
      </c>
      <c r="T41" s="7" t="s">
        <v>15</v>
      </c>
    </row>
    <row r="42">
      <c r="A42" s="7" t="s">
        <v>1244</v>
      </c>
      <c r="B42" s="7">
        <v>0.1375</v>
      </c>
      <c r="C42" s="7">
        <v>100.0</v>
      </c>
      <c r="D42" s="7" t="s">
        <v>15</v>
      </c>
      <c r="E42" s="7" t="s">
        <v>1244</v>
      </c>
      <c r="F42" s="7">
        <v>2.05127</v>
      </c>
      <c r="G42" s="7">
        <v>100.0</v>
      </c>
      <c r="H42" s="7" t="s">
        <v>15</v>
      </c>
      <c r="I42" s="7" t="s">
        <v>1245</v>
      </c>
      <c r="J42" s="7">
        <v>2.15733</v>
      </c>
      <c r="K42" s="7">
        <v>52.17</v>
      </c>
      <c r="L42" s="7" t="s">
        <v>26</v>
      </c>
      <c r="M42" s="7" t="s">
        <v>1244</v>
      </c>
      <c r="O42" s="7">
        <v>100.0</v>
      </c>
      <c r="P42" s="7" t="s">
        <v>15</v>
      </c>
      <c r="Q42" s="7" t="s">
        <v>1244</v>
      </c>
      <c r="S42" s="7">
        <v>100.0</v>
      </c>
      <c r="T42" s="7" t="s">
        <v>15</v>
      </c>
    </row>
    <row r="43">
      <c r="A43" s="7" t="s">
        <v>1246</v>
      </c>
      <c r="B43" s="7">
        <v>0.25825</v>
      </c>
      <c r="C43" s="7">
        <v>100.0</v>
      </c>
      <c r="D43" s="7" t="s">
        <v>15</v>
      </c>
      <c r="E43" s="7" t="s">
        <v>1246</v>
      </c>
      <c r="F43" s="7">
        <v>2.02861</v>
      </c>
      <c r="G43" s="7">
        <v>100.0</v>
      </c>
      <c r="H43" s="7" t="s">
        <v>15</v>
      </c>
      <c r="I43" s="7" t="s">
        <v>1246</v>
      </c>
      <c r="J43" s="7">
        <v>2.54609</v>
      </c>
      <c r="K43" s="7">
        <v>100.0</v>
      </c>
      <c r="L43" s="7" t="s">
        <v>15</v>
      </c>
      <c r="M43" s="7" t="s">
        <v>1246</v>
      </c>
      <c r="O43" s="7">
        <v>100.0</v>
      </c>
      <c r="P43" s="7" t="s">
        <v>15</v>
      </c>
      <c r="Q43" s="7" t="s">
        <v>1246</v>
      </c>
      <c r="S43" s="7">
        <v>100.0</v>
      </c>
      <c r="T43" s="7" t="s">
        <v>15</v>
      </c>
    </row>
    <row r="44">
      <c r="A44" s="7" t="s">
        <v>1247</v>
      </c>
      <c r="B44" s="7">
        <v>0.2616</v>
      </c>
      <c r="C44" s="7">
        <v>100.0</v>
      </c>
      <c r="D44" s="7" t="s">
        <v>15</v>
      </c>
      <c r="E44" s="7" t="s">
        <v>1247</v>
      </c>
      <c r="F44" s="7">
        <v>1.65439</v>
      </c>
      <c r="G44" s="7">
        <v>100.0</v>
      </c>
      <c r="H44" s="7" t="s">
        <v>15</v>
      </c>
      <c r="I44" s="7" t="s">
        <v>1248</v>
      </c>
      <c r="J44" s="7">
        <v>2.16709</v>
      </c>
      <c r="K44" s="7">
        <v>75.86</v>
      </c>
      <c r="L44" s="7" t="s">
        <v>26</v>
      </c>
      <c r="M44" s="7" t="s">
        <v>1247</v>
      </c>
      <c r="O44" s="7">
        <v>100.0</v>
      </c>
      <c r="P44" s="7" t="s">
        <v>15</v>
      </c>
      <c r="Q44" s="7" t="s">
        <v>1247</v>
      </c>
      <c r="S44" s="7">
        <v>100.0</v>
      </c>
      <c r="T44" s="7" t="s">
        <v>15</v>
      </c>
    </row>
    <row r="45">
      <c r="A45" s="7" t="s">
        <v>1249</v>
      </c>
      <c r="B45" s="7">
        <v>0.06041</v>
      </c>
      <c r="C45" s="7">
        <v>100.0</v>
      </c>
      <c r="D45" s="7" t="s">
        <v>15</v>
      </c>
      <c r="E45" s="7" t="s">
        <v>1249</v>
      </c>
      <c r="F45" s="7">
        <v>1.71231</v>
      </c>
      <c r="G45" s="7">
        <v>100.0</v>
      </c>
      <c r="H45" s="7" t="s">
        <v>15</v>
      </c>
      <c r="I45" s="7" t="s">
        <v>1250</v>
      </c>
      <c r="J45" s="7">
        <v>3.72977</v>
      </c>
      <c r="K45" s="7">
        <v>66.67</v>
      </c>
      <c r="L45" s="7" t="s">
        <v>26</v>
      </c>
      <c r="M45" s="7" t="s">
        <v>1249</v>
      </c>
      <c r="O45" s="7">
        <v>100.0</v>
      </c>
      <c r="P45" s="7" t="s">
        <v>15</v>
      </c>
      <c r="Q45" s="7" t="s">
        <v>1249</v>
      </c>
      <c r="S45" s="7">
        <v>100.0</v>
      </c>
      <c r="T45" s="7" t="s">
        <v>15</v>
      </c>
    </row>
    <row r="46">
      <c r="A46" s="7" t="s">
        <v>1251</v>
      </c>
      <c r="B46" s="7">
        <v>0.10203</v>
      </c>
      <c r="C46" s="7">
        <v>100.0</v>
      </c>
      <c r="D46" s="7" t="s">
        <v>15</v>
      </c>
      <c r="E46" s="7" t="s">
        <v>1251</v>
      </c>
      <c r="F46" s="7">
        <v>3.39544</v>
      </c>
      <c r="G46" s="7">
        <v>100.0</v>
      </c>
      <c r="H46" s="7" t="s">
        <v>15</v>
      </c>
      <c r="I46" s="7" t="s">
        <v>1252</v>
      </c>
      <c r="J46" s="7">
        <v>3.44122</v>
      </c>
      <c r="K46" s="7">
        <v>47.06</v>
      </c>
      <c r="L46" s="7" t="s">
        <v>26</v>
      </c>
      <c r="M46" s="7" t="s">
        <v>1251</v>
      </c>
      <c r="O46" s="7">
        <v>100.0</v>
      </c>
      <c r="P46" s="7" t="s">
        <v>15</v>
      </c>
      <c r="Q46" s="7" t="s">
        <v>1251</v>
      </c>
      <c r="S46" s="7">
        <v>100.0</v>
      </c>
      <c r="T46" s="7" t="s">
        <v>15</v>
      </c>
    </row>
    <row r="47">
      <c r="A47" s="7" t="s">
        <v>1253</v>
      </c>
      <c r="B47" s="7">
        <v>0.31203</v>
      </c>
      <c r="C47" s="7">
        <v>100.0</v>
      </c>
      <c r="D47" s="7" t="s">
        <v>15</v>
      </c>
      <c r="E47" s="7" t="s">
        <v>1253</v>
      </c>
      <c r="F47" s="7">
        <v>1.84584</v>
      </c>
      <c r="G47" s="7">
        <v>100.0</v>
      </c>
      <c r="H47" s="7" t="s">
        <v>15</v>
      </c>
      <c r="I47" s="7" t="s">
        <v>1254</v>
      </c>
      <c r="J47" s="7">
        <v>2.17149</v>
      </c>
      <c r="K47" s="7">
        <v>43.75</v>
      </c>
      <c r="L47" s="7" t="s">
        <v>26</v>
      </c>
      <c r="M47" s="7" t="s">
        <v>1253</v>
      </c>
      <c r="O47" s="7">
        <v>100.0</v>
      </c>
      <c r="P47" s="7" t="s">
        <v>15</v>
      </c>
      <c r="Q47" s="7" t="s">
        <v>1253</v>
      </c>
      <c r="S47" s="7">
        <v>100.0</v>
      </c>
      <c r="T47" s="7" t="s">
        <v>15</v>
      </c>
    </row>
    <row r="48">
      <c r="A48" s="7" t="s">
        <v>1255</v>
      </c>
      <c r="B48" s="7">
        <v>0.09395</v>
      </c>
      <c r="C48" s="7">
        <v>100.0</v>
      </c>
      <c r="D48" s="7" t="s">
        <v>15</v>
      </c>
      <c r="E48" s="7" t="s">
        <v>1255</v>
      </c>
      <c r="F48" s="7">
        <v>2.03572</v>
      </c>
      <c r="G48" s="7">
        <v>100.0</v>
      </c>
      <c r="H48" s="7" t="s">
        <v>15</v>
      </c>
      <c r="I48" s="7" t="s">
        <v>1256</v>
      </c>
      <c r="J48" s="7">
        <v>2.47588</v>
      </c>
      <c r="K48" s="7">
        <v>56.25</v>
      </c>
      <c r="L48" s="7" t="s">
        <v>26</v>
      </c>
      <c r="M48" s="7" t="s">
        <v>1255</v>
      </c>
      <c r="O48" s="7">
        <v>100.0</v>
      </c>
      <c r="P48" s="7" t="s">
        <v>15</v>
      </c>
      <c r="Q48" s="7" t="s">
        <v>1255</v>
      </c>
      <c r="S48" s="7">
        <v>100.0</v>
      </c>
      <c r="T48" s="7" t="s">
        <v>15</v>
      </c>
    </row>
    <row r="49">
      <c r="A49" s="7" t="s">
        <v>1257</v>
      </c>
      <c r="B49" s="7">
        <v>0.0603</v>
      </c>
      <c r="C49" s="7">
        <v>100.0</v>
      </c>
      <c r="D49" s="7" t="s">
        <v>15</v>
      </c>
      <c r="E49" s="7" t="s">
        <v>1257</v>
      </c>
      <c r="F49" s="7">
        <v>1.93634</v>
      </c>
      <c r="G49" s="7">
        <v>100.0</v>
      </c>
      <c r="H49" s="7" t="s">
        <v>15</v>
      </c>
      <c r="I49" s="7" t="s">
        <v>1258</v>
      </c>
      <c r="J49" s="7">
        <v>2.22558</v>
      </c>
      <c r="K49" s="7">
        <v>60.0</v>
      </c>
      <c r="L49" s="7" t="s">
        <v>26</v>
      </c>
      <c r="M49" s="7" t="s">
        <v>1257</v>
      </c>
      <c r="O49" s="7">
        <v>100.0</v>
      </c>
      <c r="P49" s="7" t="s">
        <v>15</v>
      </c>
      <c r="Q49" s="7" t="s">
        <v>1257</v>
      </c>
      <c r="S49" s="7">
        <v>100.0</v>
      </c>
      <c r="T49" s="7" t="s">
        <v>15</v>
      </c>
    </row>
    <row r="50">
      <c r="A50" s="7" t="s">
        <v>1259</v>
      </c>
      <c r="B50" s="7">
        <v>0.07144</v>
      </c>
      <c r="C50" s="7">
        <v>100.0</v>
      </c>
      <c r="D50" s="7" t="s">
        <v>15</v>
      </c>
      <c r="E50" s="7" t="s">
        <v>1259</v>
      </c>
      <c r="F50" s="7">
        <v>1.63943</v>
      </c>
      <c r="G50" s="7">
        <v>100.0</v>
      </c>
      <c r="H50" s="7" t="s">
        <v>15</v>
      </c>
      <c r="I50" s="7" t="s">
        <v>1259</v>
      </c>
      <c r="J50" s="7">
        <v>2.40603</v>
      </c>
      <c r="K50" s="7">
        <v>100.0</v>
      </c>
      <c r="L50" s="7" t="s">
        <v>15</v>
      </c>
      <c r="M50" s="7" t="s">
        <v>1259</v>
      </c>
      <c r="O50" s="7">
        <v>100.0</v>
      </c>
      <c r="P50" s="7" t="s">
        <v>15</v>
      </c>
      <c r="Q50" s="7" t="s">
        <v>1259</v>
      </c>
      <c r="S50" s="7">
        <v>100.0</v>
      </c>
      <c r="T50" s="7" t="s">
        <v>15</v>
      </c>
    </row>
    <row r="51">
      <c r="A51" s="7" t="s">
        <v>1260</v>
      </c>
      <c r="B51" s="7">
        <v>0.06288</v>
      </c>
      <c r="C51" s="7">
        <v>100.0</v>
      </c>
      <c r="D51" s="7" t="s">
        <v>15</v>
      </c>
      <c r="E51" s="7" t="s">
        <v>1260</v>
      </c>
      <c r="F51" s="7">
        <v>1.80511</v>
      </c>
      <c r="G51" s="7">
        <v>100.0</v>
      </c>
      <c r="H51" s="7" t="s">
        <v>15</v>
      </c>
      <c r="I51" s="7" t="s">
        <v>1260</v>
      </c>
      <c r="J51" s="7">
        <v>2.33707</v>
      </c>
      <c r="K51" s="7">
        <v>100.0</v>
      </c>
      <c r="L51" s="7" t="s">
        <v>15</v>
      </c>
      <c r="M51" s="7" t="s">
        <v>1260</v>
      </c>
      <c r="O51" s="7">
        <v>100.0</v>
      </c>
      <c r="P51" s="7" t="s">
        <v>15</v>
      </c>
      <c r="Q51" s="7" t="s">
        <v>1260</v>
      </c>
      <c r="S51" s="7">
        <v>100.0</v>
      </c>
      <c r="T51" s="7" t="s">
        <v>15</v>
      </c>
    </row>
    <row r="52">
      <c r="A52" s="7" t="s">
        <v>1261</v>
      </c>
      <c r="B52" s="7">
        <v>0.06419</v>
      </c>
      <c r="C52" s="7">
        <v>100.0</v>
      </c>
      <c r="D52" s="7" t="s">
        <v>15</v>
      </c>
      <c r="E52" s="7" t="s">
        <v>1261</v>
      </c>
      <c r="F52" s="7">
        <v>1.86362</v>
      </c>
      <c r="G52" s="7">
        <v>100.0</v>
      </c>
      <c r="H52" s="7" t="s">
        <v>15</v>
      </c>
      <c r="I52" s="7" t="s">
        <v>1261</v>
      </c>
      <c r="J52" s="7">
        <v>2.16222</v>
      </c>
      <c r="K52" s="7">
        <v>100.0</v>
      </c>
      <c r="L52" s="7" t="s">
        <v>15</v>
      </c>
      <c r="M52" s="7" t="s">
        <v>1261</v>
      </c>
      <c r="O52" s="7">
        <v>100.0</v>
      </c>
      <c r="P52" s="7" t="s">
        <v>15</v>
      </c>
      <c r="Q52" s="7" t="s">
        <v>1261</v>
      </c>
      <c r="S52" s="7">
        <v>100.0</v>
      </c>
      <c r="T52" s="7" t="s">
        <v>15</v>
      </c>
    </row>
    <row r="53">
      <c r="A53" s="7" t="s">
        <v>1262</v>
      </c>
      <c r="B53" s="7">
        <v>0.05691</v>
      </c>
      <c r="C53" s="7">
        <v>100.0</v>
      </c>
      <c r="D53" s="7" t="s">
        <v>15</v>
      </c>
      <c r="E53" s="7" t="s">
        <v>1262</v>
      </c>
      <c r="F53" s="7">
        <v>1.80965</v>
      </c>
      <c r="G53" s="7">
        <v>100.0</v>
      </c>
      <c r="H53" s="7" t="s">
        <v>15</v>
      </c>
      <c r="I53" s="7" t="s">
        <v>1263</v>
      </c>
      <c r="J53" s="7">
        <v>2.56909</v>
      </c>
      <c r="K53" s="7">
        <v>68.57</v>
      </c>
      <c r="L53" s="7" t="s">
        <v>26</v>
      </c>
      <c r="M53" s="7" t="s">
        <v>1262</v>
      </c>
      <c r="O53" s="7">
        <v>100.0</v>
      </c>
      <c r="P53" s="7" t="s">
        <v>15</v>
      </c>
      <c r="Q53" s="7" t="s">
        <v>1262</v>
      </c>
      <c r="S53" s="7">
        <v>100.0</v>
      </c>
      <c r="T53" s="7" t="s">
        <v>15</v>
      </c>
    </row>
    <row r="54">
      <c r="A54" s="7" t="s">
        <v>1264</v>
      </c>
      <c r="B54" s="7">
        <v>0.30871</v>
      </c>
      <c r="C54" s="7">
        <v>100.0</v>
      </c>
      <c r="D54" s="7" t="s">
        <v>15</v>
      </c>
      <c r="E54" s="7" t="s">
        <v>1264</v>
      </c>
      <c r="F54" s="7">
        <v>1.89375</v>
      </c>
      <c r="G54" s="7">
        <v>100.0</v>
      </c>
      <c r="H54" s="7" t="s">
        <v>15</v>
      </c>
      <c r="I54" s="7" t="s">
        <v>1265</v>
      </c>
      <c r="J54" s="7">
        <v>2.26049</v>
      </c>
      <c r="K54" s="7">
        <v>58.54</v>
      </c>
      <c r="L54" s="7" t="s">
        <v>26</v>
      </c>
      <c r="M54" s="7" t="s">
        <v>1264</v>
      </c>
      <c r="O54" s="7">
        <v>100.0</v>
      </c>
      <c r="P54" s="7" t="s">
        <v>15</v>
      </c>
      <c r="Q54" s="7" t="s">
        <v>1264</v>
      </c>
      <c r="S54" s="7">
        <v>100.0</v>
      </c>
      <c r="T54" s="7" t="s">
        <v>15</v>
      </c>
    </row>
    <row r="55">
      <c r="A55" s="7" t="s">
        <v>1266</v>
      </c>
      <c r="B55" s="7">
        <v>0.1278</v>
      </c>
      <c r="C55" s="7">
        <v>100.0</v>
      </c>
      <c r="D55" s="7" t="s">
        <v>15</v>
      </c>
      <c r="E55" s="7" t="s">
        <v>1266</v>
      </c>
      <c r="F55" s="7">
        <v>1.8929</v>
      </c>
      <c r="G55" s="7">
        <v>100.0</v>
      </c>
      <c r="H55" s="7" t="s">
        <v>15</v>
      </c>
      <c r="I55" s="7" t="s">
        <v>1267</v>
      </c>
      <c r="J55" s="7">
        <v>2.41096</v>
      </c>
      <c r="K55" s="7">
        <v>45.45</v>
      </c>
      <c r="L55" s="7" t="s">
        <v>26</v>
      </c>
      <c r="M55" s="7" t="s">
        <v>1266</v>
      </c>
      <c r="O55" s="7">
        <v>100.0</v>
      </c>
      <c r="P55" s="7" t="s">
        <v>15</v>
      </c>
      <c r="Q55" s="7" t="s">
        <v>1266</v>
      </c>
      <c r="S55" s="7">
        <v>100.0</v>
      </c>
      <c r="T55" s="7" t="s">
        <v>15</v>
      </c>
    </row>
    <row r="56">
      <c r="A56" s="7" t="s">
        <v>1268</v>
      </c>
      <c r="B56" s="7">
        <v>0.12321</v>
      </c>
      <c r="C56" s="7">
        <v>88.0</v>
      </c>
      <c r="D56" s="7" t="s">
        <v>26</v>
      </c>
      <c r="E56" s="7" t="s">
        <v>1269</v>
      </c>
      <c r="F56" s="7">
        <v>1.92702</v>
      </c>
      <c r="G56" s="7">
        <v>100.0</v>
      </c>
      <c r="H56" s="7" t="s">
        <v>15</v>
      </c>
      <c r="I56" s="7" t="s">
        <v>1269</v>
      </c>
      <c r="J56" s="7">
        <v>1.87806</v>
      </c>
      <c r="K56" s="7">
        <v>100.0</v>
      </c>
      <c r="L56" s="7" t="s">
        <v>15</v>
      </c>
      <c r="M56" s="7" t="s">
        <v>1269</v>
      </c>
      <c r="O56" s="7">
        <v>100.0</v>
      </c>
      <c r="P56" s="7" t="s">
        <v>15</v>
      </c>
      <c r="Q56" s="7" t="s">
        <v>1269</v>
      </c>
      <c r="S56" s="7">
        <v>100.0</v>
      </c>
      <c r="T56" s="7" t="s">
        <v>15</v>
      </c>
    </row>
    <row r="57">
      <c r="A57" s="7" t="s">
        <v>1270</v>
      </c>
      <c r="B57" s="7">
        <v>0.07255</v>
      </c>
      <c r="C57" s="7">
        <v>75.68</v>
      </c>
      <c r="D57" s="7" t="s">
        <v>26</v>
      </c>
      <c r="E57" s="7" t="s">
        <v>1271</v>
      </c>
      <c r="F57" s="7">
        <v>1.69109</v>
      </c>
      <c r="G57" s="7">
        <v>100.0</v>
      </c>
      <c r="H57" s="7" t="s">
        <v>15</v>
      </c>
      <c r="I57" s="7" t="s">
        <v>1271</v>
      </c>
      <c r="J57" s="7">
        <v>2.64991</v>
      </c>
      <c r="K57" s="7">
        <v>100.0</v>
      </c>
      <c r="L57" s="7" t="s">
        <v>15</v>
      </c>
      <c r="M57" s="7" t="s">
        <v>1271</v>
      </c>
      <c r="O57" s="7">
        <v>100.0</v>
      </c>
      <c r="P57" s="7" t="s">
        <v>15</v>
      </c>
      <c r="Q57" s="7" t="s">
        <v>1271</v>
      </c>
      <c r="S57" s="7">
        <v>100.0</v>
      </c>
      <c r="T57" s="7" t="s">
        <v>15</v>
      </c>
    </row>
    <row r="58">
      <c r="A58" s="7" t="s">
        <v>1272</v>
      </c>
      <c r="B58" s="7">
        <v>0.082</v>
      </c>
      <c r="C58" s="7">
        <v>64.52</v>
      </c>
      <c r="D58" s="7" t="s">
        <v>26</v>
      </c>
      <c r="E58" s="7" t="s">
        <v>1273</v>
      </c>
      <c r="F58" s="7">
        <v>1.86213</v>
      </c>
      <c r="G58" s="7">
        <v>100.0</v>
      </c>
      <c r="H58" s="7" t="s">
        <v>15</v>
      </c>
      <c r="I58" s="7" t="s">
        <v>1273</v>
      </c>
      <c r="J58" s="7">
        <v>2.66822</v>
      </c>
      <c r="K58" s="7">
        <v>100.0</v>
      </c>
      <c r="L58" s="7" t="s">
        <v>15</v>
      </c>
      <c r="M58" s="7" t="s">
        <v>1273</v>
      </c>
      <c r="O58" s="7">
        <v>100.0</v>
      </c>
      <c r="P58" s="7" t="s">
        <v>15</v>
      </c>
      <c r="Q58" s="7" t="s">
        <v>1273</v>
      </c>
      <c r="S58" s="7">
        <v>100.0</v>
      </c>
      <c r="T58" s="7" t="s">
        <v>15</v>
      </c>
    </row>
    <row r="59">
      <c r="A59" s="7" t="s">
        <v>1274</v>
      </c>
      <c r="B59" s="7">
        <v>0.14004</v>
      </c>
      <c r="C59" s="7">
        <v>100.0</v>
      </c>
      <c r="D59" s="7" t="s">
        <v>15</v>
      </c>
      <c r="E59" s="7" t="s">
        <v>1274</v>
      </c>
      <c r="F59" s="7">
        <v>1.9858</v>
      </c>
      <c r="G59" s="7">
        <v>100.0</v>
      </c>
      <c r="H59" s="7" t="s">
        <v>15</v>
      </c>
      <c r="I59" s="7" t="s">
        <v>1274</v>
      </c>
      <c r="J59" s="7">
        <v>3.03236</v>
      </c>
      <c r="K59" s="7">
        <v>100.0</v>
      </c>
      <c r="L59" s="7" t="s">
        <v>15</v>
      </c>
      <c r="M59" s="7" t="s">
        <v>1274</v>
      </c>
      <c r="O59" s="7">
        <v>100.0</v>
      </c>
      <c r="P59" s="7" t="s">
        <v>15</v>
      </c>
      <c r="Q59" s="7" t="s">
        <v>1274</v>
      </c>
      <c r="S59" s="7">
        <v>100.0</v>
      </c>
      <c r="T59" s="7" t="s">
        <v>15</v>
      </c>
    </row>
    <row r="60">
      <c r="A60" s="7" t="s">
        <v>1275</v>
      </c>
      <c r="B60" s="7">
        <v>0.10017</v>
      </c>
      <c r="C60" s="7">
        <v>100.0</v>
      </c>
      <c r="D60" s="7" t="s">
        <v>15</v>
      </c>
      <c r="E60" s="7" t="s">
        <v>1275</v>
      </c>
      <c r="F60" s="7">
        <v>1.80564</v>
      </c>
      <c r="G60" s="7">
        <v>100.0</v>
      </c>
      <c r="H60" s="7" t="s">
        <v>15</v>
      </c>
      <c r="I60" s="7" t="s">
        <v>1275</v>
      </c>
      <c r="J60" s="7">
        <v>2.03444</v>
      </c>
      <c r="K60" s="7">
        <v>100.0</v>
      </c>
      <c r="L60" s="7" t="s">
        <v>15</v>
      </c>
      <c r="M60" s="7" t="s">
        <v>1275</v>
      </c>
      <c r="O60" s="7">
        <v>100.0</v>
      </c>
      <c r="P60" s="7" t="s">
        <v>15</v>
      </c>
      <c r="Q60" s="7" t="s">
        <v>1275</v>
      </c>
      <c r="S60" s="7">
        <v>100.0</v>
      </c>
      <c r="T60" s="7" t="s">
        <v>15</v>
      </c>
    </row>
    <row r="61">
      <c r="A61" s="7" t="s">
        <v>1276</v>
      </c>
      <c r="B61" s="7">
        <v>0.05767</v>
      </c>
      <c r="C61" s="7">
        <v>100.0</v>
      </c>
      <c r="D61" s="7" t="s">
        <v>15</v>
      </c>
      <c r="E61" s="7" t="s">
        <v>1276</v>
      </c>
      <c r="F61" s="7">
        <v>2.08293</v>
      </c>
      <c r="G61" s="7">
        <v>100.0</v>
      </c>
      <c r="H61" s="7" t="s">
        <v>15</v>
      </c>
      <c r="I61" s="7" t="s">
        <v>1276</v>
      </c>
      <c r="J61" s="7">
        <v>2.21582</v>
      </c>
      <c r="K61" s="7">
        <v>100.0</v>
      </c>
      <c r="L61" s="7" t="s">
        <v>15</v>
      </c>
      <c r="M61" s="7" t="s">
        <v>1276</v>
      </c>
      <c r="O61" s="7">
        <v>100.0</v>
      </c>
      <c r="P61" s="7" t="s">
        <v>15</v>
      </c>
      <c r="Q61" s="7" t="s">
        <v>1276</v>
      </c>
      <c r="S61" s="7">
        <v>100.0</v>
      </c>
      <c r="T61" s="7" t="s">
        <v>15</v>
      </c>
    </row>
    <row r="62">
      <c r="A62" s="7" t="s">
        <v>1277</v>
      </c>
      <c r="B62" s="7">
        <v>0.04329</v>
      </c>
      <c r="C62" s="7">
        <v>100.0</v>
      </c>
      <c r="D62" s="7" t="s">
        <v>15</v>
      </c>
      <c r="E62" s="7" t="s">
        <v>1277</v>
      </c>
      <c r="F62" s="7">
        <v>1.87104</v>
      </c>
      <c r="G62" s="7">
        <v>100.0</v>
      </c>
      <c r="H62" s="7" t="s">
        <v>15</v>
      </c>
      <c r="I62" s="7" t="s">
        <v>1277</v>
      </c>
      <c r="J62" s="7">
        <v>2.78603</v>
      </c>
      <c r="K62" s="7">
        <v>100.0</v>
      </c>
      <c r="L62" s="7" t="s">
        <v>15</v>
      </c>
      <c r="M62" s="7" t="s">
        <v>1277</v>
      </c>
      <c r="O62" s="7">
        <v>100.0</v>
      </c>
      <c r="P62" s="7" t="s">
        <v>15</v>
      </c>
      <c r="Q62" s="7" t="s">
        <v>1277</v>
      </c>
      <c r="S62" s="7">
        <v>100.0</v>
      </c>
      <c r="T62" s="7" t="s">
        <v>15</v>
      </c>
    </row>
    <row r="63">
      <c r="A63" s="7" t="s">
        <v>1278</v>
      </c>
      <c r="B63" s="7">
        <v>0.05952</v>
      </c>
      <c r="C63" s="7">
        <v>100.0</v>
      </c>
      <c r="D63" s="7" t="s">
        <v>15</v>
      </c>
      <c r="E63" s="7" t="s">
        <v>1278</v>
      </c>
      <c r="F63" s="7">
        <v>1.94941</v>
      </c>
      <c r="G63" s="7">
        <v>100.0</v>
      </c>
      <c r="H63" s="7" t="s">
        <v>15</v>
      </c>
      <c r="I63" s="7" t="s">
        <v>1278</v>
      </c>
      <c r="J63" s="7">
        <v>2.01954</v>
      </c>
      <c r="K63" s="7">
        <v>100.0</v>
      </c>
      <c r="L63" s="7" t="s">
        <v>15</v>
      </c>
      <c r="M63" s="7" t="s">
        <v>1278</v>
      </c>
      <c r="O63" s="7">
        <v>100.0</v>
      </c>
      <c r="P63" s="7" t="s">
        <v>15</v>
      </c>
      <c r="Q63" s="7" t="s">
        <v>1278</v>
      </c>
      <c r="S63" s="7">
        <v>100.0</v>
      </c>
      <c r="T63" s="7" t="s">
        <v>15</v>
      </c>
    </row>
    <row r="64">
      <c r="A64" s="7" t="s">
        <v>1279</v>
      </c>
      <c r="B64" s="7">
        <v>0.19796</v>
      </c>
      <c r="C64" s="7">
        <v>68.97</v>
      </c>
      <c r="D64" s="7" t="s">
        <v>26</v>
      </c>
      <c r="E64" s="7" t="s">
        <v>1280</v>
      </c>
      <c r="F64" s="7">
        <v>1.69829</v>
      </c>
      <c r="G64" s="7">
        <v>100.0</v>
      </c>
      <c r="H64" s="7" t="s">
        <v>15</v>
      </c>
      <c r="I64" s="7" t="s">
        <v>1280</v>
      </c>
      <c r="J64" s="7">
        <v>2.10259</v>
      </c>
      <c r="K64" s="7">
        <v>100.0</v>
      </c>
      <c r="L64" s="7" t="s">
        <v>15</v>
      </c>
      <c r="M64" s="7" t="s">
        <v>1280</v>
      </c>
      <c r="O64" s="7">
        <v>100.0</v>
      </c>
      <c r="P64" s="7" t="s">
        <v>15</v>
      </c>
      <c r="Q64" s="7" t="s">
        <v>1280</v>
      </c>
      <c r="S64" s="7">
        <v>100.0</v>
      </c>
      <c r="T64" s="7" t="s">
        <v>15</v>
      </c>
    </row>
    <row r="65">
      <c r="A65" s="7" t="s">
        <v>1281</v>
      </c>
      <c r="B65" s="7">
        <v>0.35165</v>
      </c>
      <c r="C65" s="7">
        <v>100.0</v>
      </c>
      <c r="D65" s="7" t="s">
        <v>15</v>
      </c>
      <c r="E65" s="7" t="s">
        <v>1281</v>
      </c>
      <c r="F65" s="7">
        <v>1.82004</v>
      </c>
      <c r="G65" s="7">
        <v>100.0</v>
      </c>
      <c r="H65" s="7" t="s">
        <v>15</v>
      </c>
      <c r="I65" s="7" t="s">
        <v>1281</v>
      </c>
      <c r="J65" s="7">
        <v>1.89641</v>
      </c>
      <c r="K65" s="7">
        <v>100.0</v>
      </c>
      <c r="L65" s="7" t="s">
        <v>15</v>
      </c>
      <c r="M65" s="7" t="s">
        <v>1281</v>
      </c>
      <c r="O65" s="7">
        <v>100.0</v>
      </c>
      <c r="P65" s="7" t="s">
        <v>15</v>
      </c>
      <c r="Q65" s="7" t="s">
        <v>1281</v>
      </c>
      <c r="S65" s="7">
        <v>100.0</v>
      </c>
      <c r="T65" s="7" t="s">
        <v>15</v>
      </c>
    </row>
    <row r="66">
      <c r="A66" s="7" t="s">
        <v>1282</v>
      </c>
      <c r="B66" s="7">
        <v>0.16846</v>
      </c>
      <c r="C66" s="7">
        <v>100.0</v>
      </c>
      <c r="D66" s="7" t="s">
        <v>15</v>
      </c>
      <c r="E66" s="7" t="s">
        <v>1282</v>
      </c>
      <c r="F66" s="7">
        <v>1.70638</v>
      </c>
      <c r="G66" s="7">
        <v>100.0</v>
      </c>
      <c r="H66" s="7" t="s">
        <v>15</v>
      </c>
      <c r="I66" s="7" t="s">
        <v>1282</v>
      </c>
      <c r="J66" s="7">
        <v>2.10568</v>
      </c>
      <c r="K66" s="7">
        <v>100.0</v>
      </c>
      <c r="L66" s="7" t="s">
        <v>15</v>
      </c>
      <c r="M66" s="7" t="s">
        <v>1282</v>
      </c>
      <c r="O66" s="7">
        <v>100.0</v>
      </c>
      <c r="P66" s="7" t="s">
        <v>15</v>
      </c>
      <c r="Q66" s="7" t="s">
        <v>1282</v>
      </c>
      <c r="S66" s="7">
        <v>100.0</v>
      </c>
      <c r="T66" s="7" t="s">
        <v>15</v>
      </c>
    </row>
    <row r="67">
      <c r="A67" s="7" t="s">
        <v>1283</v>
      </c>
      <c r="B67" s="7">
        <v>0.07533</v>
      </c>
      <c r="C67" s="7">
        <v>100.0</v>
      </c>
      <c r="D67" s="7" t="s">
        <v>15</v>
      </c>
      <c r="E67" s="7" t="s">
        <v>1283</v>
      </c>
      <c r="F67" s="7">
        <v>2.06938</v>
      </c>
      <c r="G67" s="7">
        <v>100.0</v>
      </c>
      <c r="H67" s="7" t="s">
        <v>15</v>
      </c>
      <c r="I67" s="7" t="s">
        <v>1283</v>
      </c>
      <c r="J67" s="7">
        <v>2.31719</v>
      </c>
      <c r="K67" s="7">
        <v>100.0</v>
      </c>
      <c r="L67" s="7" t="s">
        <v>15</v>
      </c>
      <c r="M67" s="7" t="s">
        <v>1283</v>
      </c>
      <c r="O67" s="7">
        <v>100.0</v>
      </c>
      <c r="P67" s="7" t="s">
        <v>15</v>
      </c>
      <c r="Q67" s="7" t="s">
        <v>1283</v>
      </c>
      <c r="S67" s="7">
        <v>100.0</v>
      </c>
      <c r="T67" s="7" t="s">
        <v>15</v>
      </c>
    </row>
    <row r="68">
      <c r="A68" s="7" t="s">
        <v>1284</v>
      </c>
      <c r="B68" s="7">
        <v>0.05123</v>
      </c>
      <c r="C68" s="7">
        <v>100.0</v>
      </c>
      <c r="D68" s="7" t="s">
        <v>15</v>
      </c>
      <c r="E68" s="7" t="s">
        <v>1284</v>
      </c>
      <c r="F68" s="7">
        <v>2.05028</v>
      </c>
      <c r="G68" s="7">
        <v>100.0</v>
      </c>
      <c r="H68" s="7" t="s">
        <v>15</v>
      </c>
      <c r="I68" s="7" t="s">
        <v>1284</v>
      </c>
      <c r="J68" s="7">
        <v>1.91429</v>
      </c>
      <c r="K68" s="7">
        <v>100.0</v>
      </c>
      <c r="L68" s="7" t="s">
        <v>15</v>
      </c>
      <c r="M68" s="7" t="s">
        <v>1284</v>
      </c>
      <c r="O68" s="7">
        <v>100.0</v>
      </c>
      <c r="P68" s="7" t="s">
        <v>15</v>
      </c>
      <c r="Q68" s="7" t="s">
        <v>1284</v>
      </c>
      <c r="S68" s="7">
        <v>100.0</v>
      </c>
      <c r="T68" s="7" t="s">
        <v>15</v>
      </c>
    </row>
    <row r="69">
      <c r="A69" s="7" t="s">
        <v>1285</v>
      </c>
      <c r="B69" s="7">
        <v>0.06849</v>
      </c>
      <c r="C69" s="7">
        <v>100.0</v>
      </c>
      <c r="D69" s="7" t="s">
        <v>15</v>
      </c>
      <c r="E69" s="7" t="s">
        <v>1285</v>
      </c>
      <c r="F69" s="7">
        <v>1.97605</v>
      </c>
      <c r="G69" s="7">
        <v>100.0</v>
      </c>
      <c r="H69" s="7" t="s">
        <v>15</v>
      </c>
      <c r="I69" s="7" t="s">
        <v>1285</v>
      </c>
      <c r="J69" s="7">
        <v>1.83097</v>
      </c>
      <c r="K69" s="7">
        <v>100.0</v>
      </c>
      <c r="L69" s="7" t="s">
        <v>15</v>
      </c>
      <c r="M69" s="7" t="s">
        <v>1285</v>
      </c>
      <c r="O69" s="7">
        <v>100.0</v>
      </c>
      <c r="P69" s="7" t="s">
        <v>15</v>
      </c>
      <c r="Q69" s="7" t="s">
        <v>1285</v>
      </c>
      <c r="S69" s="7">
        <v>100.0</v>
      </c>
      <c r="T69" s="7" t="s">
        <v>15</v>
      </c>
    </row>
    <row r="70">
      <c r="A70" s="7" t="s">
        <v>1286</v>
      </c>
      <c r="B70" s="7">
        <v>0.08006</v>
      </c>
      <c r="C70" s="7">
        <v>100.0</v>
      </c>
      <c r="D70" s="7" t="s">
        <v>15</v>
      </c>
      <c r="E70" s="7" t="s">
        <v>1286</v>
      </c>
      <c r="F70" s="7">
        <v>1.81965</v>
      </c>
      <c r="G70" s="7">
        <v>100.0</v>
      </c>
      <c r="H70" s="7" t="s">
        <v>15</v>
      </c>
      <c r="I70" s="7" t="s">
        <v>1286</v>
      </c>
      <c r="J70" s="7">
        <v>1.76059</v>
      </c>
      <c r="K70" s="7">
        <v>100.0</v>
      </c>
      <c r="L70" s="7" t="s">
        <v>15</v>
      </c>
      <c r="M70" s="7" t="s">
        <v>1286</v>
      </c>
      <c r="O70" s="7">
        <v>100.0</v>
      </c>
      <c r="P70" s="7" t="s">
        <v>15</v>
      </c>
      <c r="Q70" s="7" t="s">
        <v>1286</v>
      </c>
      <c r="S70" s="7">
        <v>100.0</v>
      </c>
      <c r="T70" s="7" t="s">
        <v>15</v>
      </c>
    </row>
    <row r="71">
      <c r="A71" s="7" t="s">
        <v>1287</v>
      </c>
      <c r="B71" s="7">
        <v>0.12246</v>
      </c>
      <c r="C71" s="7">
        <v>100.0</v>
      </c>
      <c r="D71" s="7" t="s">
        <v>15</v>
      </c>
      <c r="E71" s="7" t="s">
        <v>1287</v>
      </c>
      <c r="F71" s="7">
        <v>2.00461</v>
      </c>
      <c r="G71" s="7">
        <v>100.0</v>
      </c>
      <c r="H71" s="7" t="s">
        <v>15</v>
      </c>
      <c r="I71" s="7" t="s">
        <v>1287</v>
      </c>
      <c r="J71" s="7">
        <v>1.57569</v>
      </c>
      <c r="K71" s="7">
        <v>100.0</v>
      </c>
      <c r="L71" s="7" t="s">
        <v>15</v>
      </c>
      <c r="M71" s="7" t="s">
        <v>1287</v>
      </c>
      <c r="O71" s="7">
        <v>100.0</v>
      </c>
      <c r="P71" s="7" t="s">
        <v>15</v>
      </c>
      <c r="Q71" s="7" t="s">
        <v>1287</v>
      </c>
      <c r="S71" s="7">
        <v>100.0</v>
      </c>
      <c r="T71" s="7" t="s">
        <v>15</v>
      </c>
    </row>
    <row r="72">
      <c r="A72" s="7" t="s">
        <v>1288</v>
      </c>
      <c r="B72" s="7">
        <v>0.09445</v>
      </c>
      <c r="C72" s="7">
        <v>100.0</v>
      </c>
      <c r="D72" s="7" t="s">
        <v>15</v>
      </c>
      <c r="E72" s="7" t="s">
        <v>1288</v>
      </c>
      <c r="F72" s="7">
        <v>1.96408</v>
      </c>
      <c r="G72" s="7">
        <v>100.0</v>
      </c>
      <c r="H72" s="7" t="s">
        <v>15</v>
      </c>
      <c r="I72" s="7" t="s">
        <v>1288</v>
      </c>
      <c r="J72" s="7">
        <v>1.82005</v>
      </c>
      <c r="K72" s="7">
        <v>100.0</v>
      </c>
      <c r="L72" s="7" t="s">
        <v>15</v>
      </c>
      <c r="M72" s="7" t="s">
        <v>1288</v>
      </c>
      <c r="O72" s="7">
        <v>100.0</v>
      </c>
      <c r="P72" s="7" t="s">
        <v>15</v>
      </c>
      <c r="Q72" s="7" t="s">
        <v>1288</v>
      </c>
      <c r="S72" s="7">
        <v>100.0</v>
      </c>
      <c r="T72" s="7" t="s">
        <v>15</v>
      </c>
    </row>
    <row r="73">
      <c r="A73" s="7" t="s">
        <v>1289</v>
      </c>
      <c r="B73" s="7">
        <v>0.05134</v>
      </c>
      <c r="C73" s="7">
        <v>100.0</v>
      </c>
      <c r="D73" s="7" t="s">
        <v>15</v>
      </c>
      <c r="E73" s="7" t="s">
        <v>1289</v>
      </c>
      <c r="F73" s="7">
        <v>1.92119</v>
      </c>
      <c r="G73" s="7">
        <v>100.0</v>
      </c>
      <c r="H73" s="7" t="s">
        <v>15</v>
      </c>
      <c r="I73" s="7" t="s">
        <v>1289</v>
      </c>
      <c r="J73" s="7">
        <v>1.73225</v>
      </c>
      <c r="K73" s="7">
        <v>100.0</v>
      </c>
      <c r="L73" s="7" t="s">
        <v>15</v>
      </c>
      <c r="M73" s="7" t="s">
        <v>1289</v>
      </c>
      <c r="O73" s="7">
        <v>100.0</v>
      </c>
      <c r="P73" s="7" t="s">
        <v>15</v>
      </c>
      <c r="Q73" s="7" t="s">
        <v>1289</v>
      </c>
      <c r="S73" s="7">
        <v>100.0</v>
      </c>
      <c r="T73" s="7" t="s">
        <v>15</v>
      </c>
    </row>
    <row r="74">
      <c r="A74" s="7" t="s">
        <v>1290</v>
      </c>
      <c r="B74" s="7">
        <v>0.12287</v>
      </c>
      <c r="C74" s="7">
        <v>100.0</v>
      </c>
      <c r="D74" s="7" t="s">
        <v>15</v>
      </c>
      <c r="E74" s="7" t="s">
        <v>1290</v>
      </c>
      <c r="F74" s="7">
        <v>1.78778</v>
      </c>
      <c r="G74" s="7">
        <v>100.0</v>
      </c>
      <c r="H74" s="7" t="s">
        <v>15</v>
      </c>
      <c r="I74" s="7" t="s">
        <v>1290</v>
      </c>
      <c r="J74" s="7">
        <v>1.88074</v>
      </c>
      <c r="K74" s="7">
        <v>100.0</v>
      </c>
      <c r="L74" s="7" t="s">
        <v>15</v>
      </c>
      <c r="M74" s="7" t="s">
        <v>1290</v>
      </c>
      <c r="O74" s="7">
        <v>100.0</v>
      </c>
      <c r="P74" s="7" t="s">
        <v>15</v>
      </c>
      <c r="Q74" s="7" t="s">
        <v>1290</v>
      </c>
      <c r="S74" s="7">
        <v>100.0</v>
      </c>
      <c r="T74" s="7" t="s">
        <v>15</v>
      </c>
    </row>
    <row r="75">
      <c r="A75" s="7" t="s">
        <v>1291</v>
      </c>
      <c r="B75" s="7">
        <v>0.05998</v>
      </c>
      <c r="C75" s="7">
        <v>100.0</v>
      </c>
      <c r="D75" s="7" t="s">
        <v>15</v>
      </c>
      <c r="E75" s="7" t="s">
        <v>1291</v>
      </c>
      <c r="F75" s="7">
        <v>1.77626</v>
      </c>
      <c r="G75" s="7">
        <v>100.0</v>
      </c>
      <c r="H75" s="7" t="s">
        <v>15</v>
      </c>
      <c r="I75" s="7" t="s">
        <v>1291</v>
      </c>
      <c r="J75" s="7">
        <v>1.68669</v>
      </c>
      <c r="K75" s="7">
        <v>100.0</v>
      </c>
      <c r="L75" s="7" t="s">
        <v>15</v>
      </c>
      <c r="M75" s="7" t="s">
        <v>1291</v>
      </c>
      <c r="O75" s="7">
        <v>100.0</v>
      </c>
      <c r="P75" s="7" t="s">
        <v>15</v>
      </c>
      <c r="Q75" s="7" t="s">
        <v>1291</v>
      </c>
      <c r="S75" s="7">
        <v>100.0</v>
      </c>
      <c r="T75" s="7" t="s">
        <v>15</v>
      </c>
    </row>
    <row r="76">
      <c r="A76" s="7" t="s">
        <v>1292</v>
      </c>
      <c r="B76" s="7">
        <v>0.08484</v>
      </c>
      <c r="C76" s="7">
        <v>100.0</v>
      </c>
      <c r="D76" s="7" t="s">
        <v>15</v>
      </c>
      <c r="E76" s="7" t="s">
        <v>1292</v>
      </c>
      <c r="F76" s="7">
        <v>1.94361</v>
      </c>
      <c r="G76" s="7">
        <v>100.0</v>
      </c>
      <c r="H76" s="7" t="s">
        <v>15</v>
      </c>
      <c r="I76" s="7" t="s">
        <v>1292</v>
      </c>
      <c r="J76" s="7">
        <v>1.76206</v>
      </c>
      <c r="K76" s="7">
        <v>100.0</v>
      </c>
      <c r="L76" s="7" t="s">
        <v>15</v>
      </c>
      <c r="M76" s="7" t="s">
        <v>1292</v>
      </c>
      <c r="O76" s="7">
        <v>100.0</v>
      </c>
      <c r="P76" s="7" t="s">
        <v>15</v>
      </c>
      <c r="Q76" s="7" t="s">
        <v>1292</v>
      </c>
      <c r="S76" s="7">
        <v>100.0</v>
      </c>
      <c r="T76" s="7" t="s">
        <v>15</v>
      </c>
    </row>
    <row r="77">
      <c r="A77" s="7" t="s">
        <v>1293</v>
      </c>
      <c r="B77" s="7">
        <v>0.08448</v>
      </c>
      <c r="C77" s="7">
        <v>100.0</v>
      </c>
      <c r="D77" s="7" t="s">
        <v>15</v>
      </c>
      <c r="E77" s="7" t="s">
        <v>1293</v>
      </c>
      <c r="F77" s="7">
        <v>1.84095</v>
      </c>
      <c r="G77" s="7">
        <v>100.0</v>
      </c>
      <c r="H77" s="7" t="s">
        <v>15</v>
      </c>
      <c r="I77" s="7" t="s">
        <v>1293</v>
      </c>
      <c r="J77" s="7">
        <v>2.51291</v>
      </c>
      <c r="K77" s="7">
        <v>100.0</v>
      </c>
      <c r="L77" s="7" t="s">
        <v>15</v>
      </c>
      <c r="M77" s="7" t="s">
        <v>1293</v>
      </c>
      <c r="O77" s="7">
        <v>100.0</v>
      </c>
      <c r="P77" s="7" t="s">
        <v>15</v>
      </c>
      <c r="Q77" s="7" t="s">
        <v>1293</v>
      </c>
      <c r="S77" s="7">
        <v>100.0</v>
      </c>
      <c r="T77" s="7" t="s">
        <v>15</v>
      </c>
    </row>
    <row r="78">
      <c r="A78" s="7" t="s">
        <v>1294</v>
      </c>
      <c r="B78" s="7">
        <v>0.16633</v>
      </c>
      <c r="C78" s="7">
        <v>100.0</v>
      </c>
      <c r="D78" s="7" t="s">
        <v>15</v>
      </c>
      <c r="E78" s="7" t="s">
        <v>1294</v>
      </c>
      <c r="F78" s="7">
        <v>1.70705</v>
      </c>
      <c r="G78" s="7">
        <v>100.0</v>
      </c>
      <c r="H78" s="7" t="s">
        <v>15</v>
      </c>
      <c r="I78" s="7" t="s">
        <v>1294</v>
      </c>
      <c r="J78" s="7">
        <v>2.23676</v>
      </c>
      <c r="K78" s="7">
        <v>100.0</v>
      </c>
      <c r="L78" s="7" t="s">
        <v>15</v>
      </c>
      <c r="M78" s="7" t="s">
        <v>1294</v>
      </c>
      <c r="O78" s="7">
        <v>100.0</v>
      </c>
      <c r="P78" s="7" t="s">
        <v>15</v>
      </c>
      <c r="Q78" s="7" t="s">
        <v>1294</v>
      </c>
      <c r="S78" s="7">
        <v>100.0</v>
      </c>
      <c r="T78" s="7" t="s">
        <v>15</v>
      </c>
    </row>
    <row r="79">
      <c r="A79" s="7" t="s">
        <v>1295</v>
      </c>
      <c r="B79" s="7">
        <v>0.07729</v>
      </c>
      <c r="C79" s="7">
        <v>100.0</v>
      </c>
      <c r="D79" s="7" t="s">
        <v>15</v>
      </c>
      <c r="E79" s="7" t="s">
        <v>1295</v>
      </c>
      <c r="F79" s="7">
        <v>1.71675</v>
      </c>
      <c r="G79" s="7">
        <v>100.0</v>
      </c>
      <c r="H79" s="7" t="s">
        <v>15</v>
      </c>
      <c r="I79" s="7" t="s">
        <v>1295</v>
      </c>
      <c r="J79" s="7">
        <v>6.98477</v>
      </c>
      <c r="K79" s="7">
        <v>100.0</v>
      </c>
      <c r="L79" s="7" t="s">
        <v>15</v>
      </c>
      <c r="M79" s="7" t="s">
        <v>1295</v>
      </c>
      <c r="O79" s="7">
        <v>100.0</v>
      </c>
      <c r="P79" s="7" t="s">
        <v>15</v>
      </c>
      <c r="Q79" s="7" t="s">
        <v>1295</v>
      </c>
      <c r="S79" s="7">
        <v>100.0</v>
      </c>
      <c r="T79" s="7" t="s">
        <v>15</v>
      </c>
    </row>
    <row r="80">
      <c r="A80" s="7" t="s">
        <v>598</v>
      </c>
      <c r="B80" s="7">
        <v>0.06845</v>
      </c>
      <c r="C80" s="7">
        <v>100.0</v>
      </c>
      <c r="D80" s="7" t="s">
        <v>15</v>
      </c>
      <c r="E80" s="7" t="s">
        <v>598</v>
      </c>
      <c r="F80" s="7">
        <v>1.76798</v>
      </c>
      <c r="G80" s="7">
        <v>100.0</v>
      </c>
      <c r="H80" s="7" t="s">
        <v>15</v>
      </c>
      <c r="I80" s="7" t="s">
        <v>598</v>
      </c>
      <c r="J80" s="7">
        <v>4.01276</v>
      </c>
      <c r="K80" s="7">
        <v>100.0</v>
      </c>
      <c r="L80" s="7" t="s">
        <v>15</v>
      </c>
      <c r="M80" s="7" t="s">
        <v>598</v>
      </c>
      <c r="O80" s="7">
        <v>100.0</v>
      </c>
      <c r="P80" s="7" t="s">
        <v>15</v>
      </c>
      <c r="Q80" s="7" t="s">
        <v>598</v>
      </c>
      <c r="S80" s="7">
        <v>100.0</v>
      </c>
      <c r="T80" s="7" t="s">
        <v>15</v>
      </c>
    </row>
    <row r="81">
      <c r="A81" s="7" t="s">
        <v>1296</v>
      </c>
      <c r="B81" s="7">
        <v>0.2022</v>
      </c>
      <c r="C81" s="7">
        <v>100.0</v>
      </c>
      <c r="D81" s="7" t="s">
        <v>15</v>
      </c>
      <c r="E81" s="7" t="s">
        <v>1296</v>
      </c>
      <c r="F81" s="7">
        <v>1.79213</v>
      </c>
      <c r="G81" s="7">
        <v>100.0</v>
      </c>
      <c r="H81" s="7" t="s">
        <v>15</v>
      </c>
      <c r="I81" s="7" t="s">
        <v>1296</v>
      </c>
      <c r="J81" s="7">
        <v>1.75026</v>
      </c>
      <c r="K81" s="7">
        <v>100.0</v>
      </c>
      <c r="L81" s="7" t="s">
        <v>15</v>
      </c>
      <c r="M81" s="7" t="s">
        <v>1296</v>
      </c>
      <c r="O81" s="7">
        <v>100.0</v>
      </c>
      <c r="P81" s="7" t="s">
        <v>15</v>
      </c>
      <c r="Q81" s="7" t="s">
        <v>1296</v>
      </c>
      <c r="S81" s="7">
        <v>100.0</v>
      </c>
      <c r="T81" s="7" t="s">
        <v>15</v>
      </c>
    </row>
    <row r="82">
      <c r="A82" s="7" t="s">
        <v>1297</v>
      </c>
      <c r="B82" s="7">
        <v>0.2867</v>
      </c>
      <c r="C82" s="7">
        <v>100.0</v>
      </c>
      <c r="D82" s="7" t="s">
        <v>15</v>
      </c>
      <c r="E82" s="7" t="s">
        <v>1297</v>
      </c>
      <c r="F82" s="7">
        <v>1.89085</v>
      </c>
      <c r="G82" s="7">
        <v>100.0</v>
      </c>
      <c r="H82" s="7" t="s">
        <v>15</v>
      </c>
      <c r="I82" s="7" t="s">
        <v>1297</v>
      </c>
      <c r="J82" s="7">
        <v>1.59092</v>
      </c>
      <c r="K82" s="7">
        <v>100.0</v>
      </c>
      <c r="L82" s="7" t="s">
        <v>15</v>
      </c>
      <c r="M82" s="7" t="s">
        <v>1297</v>
      </c>
      <c r="O82" s="7">
        <v>100.0</v>
      </c>
      <c r="P82" s="7" t="s">
        <v>15</v>
      </c>
      <c r="Q82" s="7" t="s">
        <v>1297</v>
      </c>
      <c r="S82" s="7">
        <v>100.0</v>
      </c>
      <c r="T82" s="7" t="s">
        <v>15</v>
      </c>
    </row>
    <row r="83">
      <c r="A83" s="7" t="s">
        <v>1298</v>
      </c>
      <c r="B83" s="7">
        <v>0.13582</v>
      </c>
      <c r="C83" s="7">
        <v>100.0</v>
      </c>
      <c r="D83" s="7" t="s">
        <v>15</v>
      </c>
      <c r="E83" s="7" t="s">
        <v>1298</v>
      </c>
      <c r="F83" s="7">
        <v>1.61249</v>
      </c>
      <c r="G83" s="7">
        <v>100.0</v>
      </c>
      <c r="H83" s="7" t="s">
        <v>15</v>
      </c>
      <c r="I83" s="7" t="s">
        <v>1298</v>
      </c>
      <c r="J83" s="7">
        <v>1.72666</v>
      </c>
      <c r="K83" s="7">
        <v>100.0</v>
      </c>
      <c r="L83" s="7" t="s">
        <v>15</v>
      </c>
      <c r="M83" s="7" t="s">
        <v>1298</v>
      </c>
      <c r="O83" s="7">
        <v>100.0</v>
      </c>
      <c r="P83" s="7" t="s">
        <v>15</v>
      </c>
      <c r="Q83" s="7" t="s">
        <v>1298</v>
      </c>
      <c r="S83" s="7">
        <v>100.0</v>
      </c>
      <c r="T83" s="7" t="s">
        <v>15</v>
      </c>
    </row>
    <row r="84">
      <c r="A84" s="7" t="s">
        <v>1299</v>
      </c>
      <c r="B84" s="7">
        <v>0.08276</v>
      </c>
      <c r="C84" s="7">
        <v>100.0</v>
      </c>
      <c r="D84" s="7" t="s">
        <v>15</v>
      </c>
      <c r="E84" s="7" t="s">
        <v>1299</v>
      </c>
      <c r="F84" s="7">
        <v>1.64015</v>
      </c>
      <c r="G84" s="7">
        <v>100.0</v>
      </c>
      <c r="H84" s="7" t="s">
        <v>15</v>
      </c>
      <c r="I84" s="7" t="s">
        <v>1299</v>
      </c>
      <c r="J84" s="7">
        <v>2.02041</v>
      </c>
      <c r="K84" s="7">
        <v>100.0</v>
      </c>
      <c r="L84" s="7" t="s">
        <v>15</v>
      </c>
      <c r="M84" s="7" t="s">
        <v>1299</v>
      </c>
      <c r="O84" s="7">
        <v>100.0</v>
      </c>
      <c r="P84" s="7" t="s">
        <v>15</v>
      </c>
      <c r="Q84" s="7" t="s">
        <v>1299</v>
      </c>
      <c r="S84" s="7">
        <v>100.0</v>
      </c>
      <c r="T84" s="7" t="s">
        <v>15</v>
      </c>
    </row>
    <row r="85">
      <c r="A85" s="7" t="s">
        <v>1300</v>
      </c>
      <c r="B85" s="7">
        <v>0.05679</v>
      </c>
      <c r="C85" s="7">
        <v>100.0</v>
      </c>
      <c r="D85" s="7" t="s">
        <v>15</v>
      </c>
      <c r="E85" s="7" t="s">
        <v>1300</v>
      </c>
      <c r="F85" s="7">
        <v>1.72651</v>
      </c>
      <c r="G85" s="7">
        <v>100.0</v>
      </c>
      <c r="H85" s="7" t="s">
        <v>15</v>
      </c>
      <c r="I85" s="7" t="s">
        <v>1300</v>
      </c>
      <c r="J85" s="7">
        <v>1.72937</v>
      </c>
      <c r="K85" s="7">
        <v>100.0</v>
      </c>
      <c r="L85" s="7" t="s">
        <v>15</v>
      </c>
      <c r="M85" s="7" t="s">
        <v>1300</v>
      </c>
      <c r="O85" s="7">
        <v>100.0</v>
      </c>
      <c r="P85" s="7" t="s">
        <v>15</v>
      </c>
      <c r="Q85" s="7" t="s">
        <v>1300</v>
      </c>
      <c r="S85" s="7">
        <v>100.0</v>
      </c>
      <c r="T85" s="7" t="s">
        <v>15</v>
      </c>
    </row>
    <row r="86">
      <c r="A86" s="7" t="s">
        <v>1301</v>
      </c>
      <c r="B86" s="7">
        <v>0.08309</v>
      </c>
      <c r="C86" s="7">
        <v>100.0</v>
      </c>
      <c r="D86" s="7" t="s">
        <v>15</v>
      </c>
      <c r="E86" s="7" t="s">
        <v>1301</v>
      </c>
      <c r="F86" s="7">
        <v>1.86185</v>
      </c>
      <c r="G86" s="7">
        <v>100.0</v>
      </c>
      <c r="H86" s="7" t="s">
        <v>15</v>
      </c>
      <c r="I86" s="7" t="s">
        <v>1301</v>
      </c>
      <c r="J86" s="7">
        <v>1.63823</v>
      </c>
      <c r="K86" s="7">
        <v>100.0</v>
      </c>
      <c r="L86" s="7" t="s">
        <v>15</v>
      </c>
      <c r="M86" s="7" t="s">
        <v>1301</v>
      </c>
      <c r="O86" s="7">
        <v>100.0</v>
      </c>
      <c r="P86" s="7" t="s">
        <v>15</v>
      </c>
      <c r="Q86" s="7" t="s">
        <v>1301</v>
      </c>
      <c r="S86" s="7">
        <v>100.0</v>
      </c>
      <c r="T86" s="7" t="s">
        <v>15</v>
      </c>
    </row>
    <row r="87">
      <c r="A87" s="7" t="s">
        <v>1302</v>
      </c>
      <c r="B87" s="7">
        <v>0.08017</v>
      </c>
      <c r="C87" s="7">
        <v>100.0</v>
      </c>
      <c r="D87" s="7" t="s">
        <v>15</v>
      </c>
      <c r="E87" s="7" t="s">
        <v>1302</v>
      </c>
      <c r="F87" s="7">
        <v>1.84616</v>
      </c>
      <c r="G87" s="7">
        <v>100.0</v>
      </c>
      <c r="H87" s="7" t="s">
        <v>15</v>
      </c>
      <c r="I87" s="7" t="s">
        <v>1302</v>
      </c>
      <c r="J87" s="7">
        <v>1.90842</v>
      </c>
      <c r="K87" s="7">
        <v>100.0</v>
      </c>
      <c r="L87" s="7" t="s">
        <v>15</v>
      </c>
      <c r="M87" s="7" t="s">
        <v>1302</v>
      </c>
      <c r="O87" s="7">
        <v>100.0</v>
      </c>
      <c r="P87" s="7" t="s">
        <v>15</v>
      </c>
      <c r="Q87" s="7" t="s">
        <v>1302</v>
      </c>
      <c r="S87" s="7">
        <v>100.0</v>
      </c>
      <c r="T87" s="7" t="s">
        <v>15</v>
      </c>
    </row>
    <row r="88">
      <c r="A88" s="7" t="s">
        <v>1303</v>
      </c>
      <c r="B88" s="7">
        <v>0.0691</v>
      </c>
      <c r="C88" s="7">
        <v>100.0</v>
      </c>
      <c r="D88" s="7" t="s">
        <v>15</v>
      </c>
      <c r="E88" s="7" t="s">
        <v>1304</v>
      </c>
      <c r="F88" s="7">
        <v>1.88036</v>
      </c>
      <c r="G88" s="7">
        <v>47.62</v>
      </c>
      <c r="H88" s="7" t="s">
        <v>99</v>
      </c>
      <c r="I88" s="7" t="s">
        <v>1304</v>
      </c>
      <c r="J88" s="7">
        <v>1.6341</v>
      </c>
      <c r="K88" s="7">
        <v>47.62</v>
      </c>
      <c r="L88" s="7" t="s">
        <v>99</v>
      </c>
      <c r="M88" s="7" t="s">
        <v>1303</v>
      </c>
      <c r="O88" s="7">
        <v>100.0</v>
      </c>
      <c r="P88" s="7" t="s">
        <v>15</v>
      </c>
      <c r="Q88" s="7" t="s">
        <v>1303</v>
      </c>
      <c r="S88" s="7">
        <v>100.0</v>
      </c>
      <c r="T88" s="7" t="s">
        <v>15</v>
      </c>
    </row>
    <row r="89">
      <c r="A89" s="7" t="s">
        <v>1305</v>
      </c>
      <c r="B89" s="7">
        <v>0.07737</v>
      </c>
      <c r="C89" s="7">
        <v>100.0</v>
      </c>
      <c r="D89" s="7" t="s">
        <v>15</v>
      </c>
      <c r="E89" s="7" t="s">
        <v>1305</v>
      </c>
      <c r="F89" s="7">
        <v>1.66364</v>
      </c>
      <c r="G89" s="7">
        <v>100.0</v>
      </c>
      <c r="H89" s="7" t="s">
        <v>15</v>
      </c>
      <c r="I89" s="7" t="s">
        <v>1306</v>
      </c>
      <c r="J89" s="7">
        <v>1.61401</v>
      </c>
      <c r="K89" s="7">
        <v>50.0</v>
      </c>
      <c r="L89" s="7" t="s">
        <v>99</v>
      </c>
      <c r="M89" s="7" t="s">
        <v>1305</v>
      </c>
      <c r="O89" s="7">
        <v>100.0</v>
      </c>
      <c r="P89" s="7" t="s">
        <v>15</v>
      </c>
      <c r="Q89" s="7" t="s">
        <v>1305</v>
      </c>
      <c r="S89" s="7">
        <v>100.0</v>
      </c>
      <c r="T89" s="7" t="s">
        <v>15</v>
      </c>
    </row>
    <row r="90">
      <c r="A90" s="7" t="s">
        <v>1307</v>
      </c>
      <c r="B90" s="7">
        <v>0.05426</v>
      </c>
      <c r="C90" s="7">
        <v>100.0</v>
      </c>
      <c r="D90" s="7" t="s">
        <v>15</v>
      </c>
      <c r="E90" s="7" t="s">
        <v>1307</v>
      </c>
      <c r="F90" s="7">
        <v>1.68401</v>
      </c>
      <c r="G90" s="7">
        <v>100.0</v>
      </c>
      <c r="H90" s="7" t="s">
        <v>15</v>
      </c>
      <c r="I90" s="7" t="s">
        <v>1307</v>
      </c>
      <c r="J90" s="7">
        <v>1.60969</v>
      </c>
      <c r="K90" s="7">
        <v>100.0</v>
      </c>
      <c r="L90" s="7" t="s">
        <v>15</v>
      </c>
      <c r="M90" s="7" t="s">
        <v>1307</v>
      </c>
      <c r="O90" s="7">
        <v>100.0</v>
      </c>
      <c r="P90" s="7" t="s">
        <v>15</v>
      </c>
      <c r="Q90" s="7" t="s">
        <v>1307</v>
      </c>
      <c r="S90" s="7">
        <v>100.0</v>
      </c>
      <c r="T90" s="7" t="s">
        <v>15</v>
      </c>
    </row>
    <row r="91">
      <c r="A91" s="7" t="s">
        <v>1308</v>
      </c>
      <c r="B91" s="7">
        <v>0.05567</v>
      </c>
      <c r="C91" s="7">
        <v>100.0</v>
      </c>
      <c r="D91" s="7" t="s">
        <v>15</v>
      </c>
      <c r="E91" s="7" t="s">
        <v>1308</v>
      </c>
      <c r="F91" s="7">
        <v>2.15294</v>
      </c>
      <c r="G91" s="7">
        <v>100.0</v>
      </c>
      <c r="H91" s="7" t="s">
        <v>15</v>
      </c>
      <c r="I91" s="7" t="s">
        <v>1308</v>
      </c>
      <c r="J91" s="7">
        <v>2.20845</v>
      </c>
      <c r="K91" s="7">
        <v>100.0</v>
      </c>
      <c r="L91" s="7" t="s">
        <v>15</v>
      </c>
      <c r="M91" s="7" t="s">
        <v>1308</v>
      </c>
      <c r="O91" s="7">
        <v>100.0</v>
      </c>
      <c r="P91" s="7" t="s">
        <v>15</v>
      </c>
      <c r="Q91" s="7" t="s">
        <v>1308</v>
      </c>
      <c r="S91" s="7">
        <v>100.0</v>
      </c>
      <c r="T91" s="7" t="s">
        <v>15</v>
      </c>
    </row>
    <row r="92">
      <c r="A92" s="7" t="s">
        <v>1309</v>
      </c>
      <c r="B92" s="7">
        <v>0.04892</v>
      </c>
      <c r="C92" s="7">
        <v>87.5</v>
      </c>
      <c r="D92" s="7" t="s">
        <v>26</v>
      </c>
      <c r="E92" s="7" t="s">
        <v>1310</v>
      </c>
      <c r="F92" s="7">
        <v>1.88215</v>
      </c>
      <c r="G92" s="7">
        <v>100.0</v>
      </c>
      <c r="H92" s="7" t="s">
        <v>15</v>
      </c>
      <c r="I92" s="7" t="s">
        <v>1310</v>
      </c>
      <c r="J92" s="7">
        <v>1.81862</v>
      </c>
      <c r="K92" s="7">
        <v>100.0</v>
      </c>
      <c r="L92" s="7" t="s">
        <v>15</v>
      </c>
      <c r="M92" s="7" t="s">
        <v>1310</v>
      </c>
      <c r="O92" s="7">
        <v>100.0</v>
      </c>
      <c r="P92" s="7" t="s">
        <v>15</v>
      </c>
      <c r="Q92" s="7" t="s">
        <v>1310</v>
      </c>
      <c r="S92" s="7">
        <v>100.0</v>
      </c>
      <c r="T92" s="7" t="s">
        <v>15</v>
      </c>
    </row>
    <row r="93">
      <c r="A93" s="7" t="s">
        <v>1311</v>
      </c>
      <c r="B93" s="7">
        <v>0.05552</v>
      </c>
      <c r="C93" s="7">
        <v>82.05</v>
      </c>
      <c r="D93" s="7" t="s">
        <v>26</v>
      </c>
      <c r="E93" s="7" t="s">
        <v>1312</v>
      </c>
      <c r="F93" s="7">
        <v>1.77734</v>
      </c>
      <c r="G93" s="7">
        <v>100.0</v>
      </c>
      <c r="H93" s="7" t="s">
        <v>15</v>
      </c>
      <c r="I93" s="7" t="s">
        <v>1312</v>
      </c>
      <c r="J93" s="7">
        <v>1.62471</v>
      </c>
      <c r="K93" s="7">
        <v>100.0</v>
      </c>
      <c r="L93" s="7" t="s">
        <v>15</v>
      </c>
      <c r="M93" s="7" t="s">
        <v>1312</v>
      </c>
      <c r="O93" s="7">
        <v>100.0</v>
      </c>
      <c r="P93" s="7" t="s">
        <v>15</v>
      </c>
      <c r="Q93" s="7" t="s">
        <v>1312</v>
      </c>
      <c r="S93" s="7">
        <v>100.0</v>
      </c>
      <c r="T93" s="7" t="s">
        <v>15</v>
      </c>
    </row>
    <row r="94">
      <c r="A94" s="7" t="s">
        <v>1313</v>
      </c>
      <c r="B94" s="7">
        <v>0.09873</v>
      </c>
      <c r="C94" s="7">
        <v>100.0</v>
      </c>
      <c r="D94" s="7" t="s">
        <v>15</v>
      </c>
      <c r="E94" s="7" t="s">
        <v>1313</v>
      </c>
      <c r="F94" s="7">
        <v>1.91476</v>
      </c>
      <c r="G94" s="7">
        <v>100.0</v>
      </c>
      <c r="H94" s="7" t="s">
        <v>15</v>
      </c>
      <c r="I94" s="7" t="s">
        <v>1313</v>
      </c>
      <c r="J94" s="7">
        <v>1.62133</v>
      </c>
      <c r="K94" s="7">
        <v>100.0</v>
      </c>
      <c r="L94" s="7" t="s">
        <v>15</v>
      </c>
      <c r="M94" s="7" t="s">
        <v>1313</v>
      </c>
      <c r="O94" s="7">
        <v>100.0</v>
      </c>
      <c r="P94" s="7" t="s">
        <v>15</v>
      </c>
      <c r="Q94" s="7" t="s">
        <v>1313</v>
      </c>
      <c r="S94" s="7">
        <v>100.0</v>
      </c>
      <c r="T94" s="7" t="s">
        <v>15</v>
      </c>
    </row>
    <row r="95">
      <c r="A95" s="7" t="s">
        <v>1314</v>
      </c>
      <c r="B95" s="7">
        <v>0.0558</v>
      </c>
      <c r="C95" s="7">
        <v>100.0</v>
      </c>
      <c r="D95" s="7" t="s">
        <v>15</v>
      </c>
      <c r="E95" s="7" t="s">
        <v>1314</v>
      </c>
      <c r="F95" s="7">
        <v>1.63483</v>
      </c>
      <c r="G95" s="7">
        <v>100.0</v>
      </c>
      <c r="H95" s="7" t="s">
        <v>15</v>
      </c>
      <c r="I95" s="7" t="s">
        <v>1314</v>
      </c>
      <c r="J95" s="7">
        <v>1.79534</v>
      </c>
      <c r="K95" s="7">
        <v>100.0</v>
      </c>
      <c r="L95" s="7" t="s">
        <v>15</v>
      </c>
      <c r="M95" s="7" t="s">
        <v>1314</v>
      </c>
      <c r="O95" s="7">
        <v>100.0</v>
      </c>
      <c r="P95" s="7" t="s">
        <v>15</v>
      </c>
      <c r="Q95" s="7" t="s">
        <v>1314</v>
      </c>
      <c r="S95" s="7">
        <v>100.0</v>
      </c>
      <c r="T95" s="7" t="s">
        <v>15</v>
      </c>
    </row>
    <row r="96">
      <c r="A96" s="7" t="s">
        <v>1315</v>
      </c>
      <c r="B96" s="7">
        <v>0.05683</v>
      </c>
      <c r="C96" s="7">
        <v>100.0</v>
      </c>
      <c r="D96" s="7" t="s">
        <v>15</v>
      </c>
      <c r="E96" s="7" t="s">
        <v>1315</v>
      </c>
      <c r="F96" s="7">
        <v>1.7921</v>
      </c>
      <c r="G96" s="7">
        <v>100.0</v>
      </c>
      <c r="H96" s="7" t="s">
        <v>15</v>
      </c>
      <c r="I96" s="7" t="s">
        <v>1315</v>
      </c>
      <c r="J96" s="7">
        <v>1.71507</v>
      </c>
      <c r="K96" s="7">
        <v>100.0</v>
      </c>
      <c r="L96" s="7" t="s">
        <v>15</v>
      </c>
      <c r="M96" s="7" t="s">
        <v>1315</v>
      </c>
      <c r="O96" s="7">
        <v>100.0</v>
      </c>
      <c r="P96" s="7" t="s">
        <v>15</v>
      </c>
      <c r="Q96" s="7" t="s">
        <v>1315</v>
      </c>
      <c r="S96" s="7">
        <v>100.0</v>
      </c>
      <c r="T96" s="7" t="s">
        <v>15</v>
      </c>
    </row>
    <row r="97">
      <c r="A97" s="7" t="s">
        <v>1316</v>
      </c>
      <c r="B97" s="7">
        <v>0.05837</v>
      </c>
      <c r="C97" s="7">
        <v>100.0</v>
      </c>
      <c r="D97" s="7" t="s">
        <v>15</v>
      </c>
      <c r="E97" s="7" t="s">
        <v>1316</v>
      </c>
      <c r="F97" s="7">
        <v>1.71938</v>
      </c>
      <c r="G97" s="7">
        <v>100.0</v>
      </c>
      <c r="H97" s="7" t="s">
        <v>15</v>
      </c>
      <c r="I97" s="7" t="s">
        <v>1316</v>
      </c>
      <c r="J97" s="7">
        <v>2.19021</v>
      </c>
      <c r="K97" s="7">
        <v>100.0</v>
      </c>
      <c r="L97" s="7" t="s">
        <v>15</v>
      </c>
      <c r="M97" s="7" t="s">
        <v>1316</v>
      </c>
      <c r="O97" s="7">
        <v>100.0</v>
      </c>
      <c r="P97" s="7" t="s">
        <v>15</v>
      </c>
      <c r="Q97" s="7" t="s">
        <v>1316</v>
      </c>
      <c r="S97" s="7">
        <v>100.0</v>
      </c>
      <c r="T97" s="7" t="s">
        <v>15</v>
      </c>
    </row>
    <row r="98">
      <c r="A98" s="7" t="s">
        <v>1317</v>
      </c>
      <c r="B98" s="7">
        <v>0.17857</v>
      </c>
      <c r="C98" s="7">
        <v>100.0</v>
      </c>
      <c r="D98" s="7" t="s">
        <v>15</v>
      </c>
      <c r="E98" s="7" t="s">
        <v>1317</v>
      </c>
      <c r="F98" s="7">
        <v>1.77304</v>
      </c>
      <c r="G98" s="7">
        <v>100.0</v>
      </c>
      <c r="H98" s="7" t="s">
        <v>15</v>
      </c>
      <c r="I98" s="7" t="s">
        <v>1317</v>
      </c>
      <c r="J98" s="7">
        <v>1.93582</v>
      </c>
      <c r="K98" s="7">
        <v>100.0</v>
      </c>
      <c r="L98" s="7" t="s">
        <v>15</v>
      </c>
      <c r="M98" s="7" t="s">
        <v>1317</v>
      </c>
      <c r="O98" s="7">
        <v>100.0</v>
      </c>
      <c r="P98" s="7" t="s">
        <v>15</v>
      </c>
      <c r="Q98" s="7" t="s">
        <v>1317</v>
      </c>
      <c r="S98" s="7">
        <v>100.0</v>
      </c>
      <c r="T98" s="7" t="s">
        <v>15</v>
      </c>
    </row>
    <row r="99">
      <c r="A99" s="7" t="s">
        <v>1318</v>
      </c>
      <c r="B99" s="7">
        <v>0.09251</v>
      </c>
      <c r="C99" s="7">
        <v>70.59</v>
      </c>
      <c r="D99" s="7" t="s">
        <v>26</v>
      </c>
      <c r="E99" s="7" t="s">
        <v>1319</v>
      </c>
      <c r="F99" s="7">
        <v>1.91761</v>
      </c>
      <c r="G99" s="7">
        <v>100.0</v>
      </c>
      <c r="H99" s="7" t="s">
        <v>15</v>
      </c>
      <c r="I99" s="7" t="s">
        <v>1319</v>
      </c>
      <c r="J99" s="7">
        <v>2.1359</v>
      </c>
      <c r="K99" s="7">
        <v>100.0</v>
      </c>
      <c r="L99" s="7" t="s">
        <v>15</v>
      </c>
      <c r="M99" s="7" t="s">
        <v>1319</v>
      </c>
      <c r="O99" s="7">
        <v>100.0</v>
      </c>
      <c r="P99" s="7" t="s">
        <v>15</v>
      </c>
      <c r="Q99" s="7" t="s">
        <v>1319</v>
      </c>
      <c r="S99" s="7">
        <v>100.0</v>
      </c>
      <c r="T99" s="7" t="s">
        <v>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11.88"/>
    <col customWidth="1" min="5" max="5" width="22.88"/>
    <col customWidth="1" min="6" max="6" width="14.38"/>
    <col customWidth="1" min="9" max="9" width="23.38"/>
    <col customWidth="1" min="10" max="10" width="14.38"/>
    <col customWidth="1" min="13" max="13" width="22.88"/>
    <col customWidth="1" min="14" max="14" width="14.38"/>
    <col customWidth="1" min="17" max="17" width="23.38"/>
    <col customWidth="1" min="18" max="18" width="14.3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1320</v>
      </c>
      <c r="B2" s="7">
        <v>0.06041</v>
      </c>
      <c r="C2" s="7">
        <v>100.0</v>
      </c>
      <c r="D2" s="7" t="s">
        <v>15</v>
      </c>
      <c r="E2" s="7" t="s">
        <v>1321</v>
      </c>
      <c r="F2" s="7">
        <v>2.11383</v>
      </c>
      <c r="G2" s="7">
        <v>100.0</v>
      </c>
      <c r="H2" s="7" t="s">
        <v>15</v>
      </c>
      <c r="I2" s="7" t="s">
        <v>1320</v>
      </c>
      <c r="J2" s="7">
        <v>1.87703</v>
      </c>
      <c r="K2" s="7">
        <v>100.0</v>
      </c>
      <c r="L2" s="7" t="s">
        <v>15</v>
      </c>
      <c r="M2" s="7" t="s">
        <v>1321</v>
      </c>
      <c r="N2" s="7">
        <v>9.31734</v>
      </c>
      <c r="O2" s="7">
        <v>100.0</v>
      </c>
      <c r="P2" s="7" t="s">
        <v>15</v>
      </c>
      <c r="Q2" s="7" t="s">
        <v>1320</v>
      </c>
      <c r="R2" s="7">
        <v>8.06058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1322</v>
      </c>
      <c r="B3" s="7">
        <v>0.05835</v>
      </c>
      <c r="C3" s="7">
        <v>100.0</v>
      </c>
      <c r="D3" s="7" t="s">
        <v>15</v>
      </c>
      <c r="E3" s="7" t="s">
        <v>1323</v>
      </c>
      <c r="F3" s="7">
        <v>2.42008</v>
      </c>
      <c r="G3" s="7">
        <v>100.0</v>
      </c>
      <c r="H3" s="7" t="s">
        <v>15</v>
      </c>
      <c r="I3" s="7" t="s">
        <v>1322</v>
      </c>
      <c r="J3" s="7">
        <v>2.72042</v>
      </c>
      <c r="K3" s="7">
        <v>100.0</v>
      </c>
      <c r="L3" s="7" t="s">
        <v>15</v>
      </c>
      <c r="M3" s="7" t="s">
        <v>1323</v>
      </c>
      <c r="O3" s="7">
        <v>100.0</v>
      </c>
      <c r="P3" s="7" t="s">
        <v>15</v>
      </c>
      <c r="Q3" s="7" t="s">
        <v>1322</v>
      </c>
      <c r="S3" s="7">
        <v>100.0</v>
      </c>
      <c r="T3" s="7" t="s">
        <v>15</v>
      </c>
      <c r="U3" s="8">
        <f>AVERAGE(B2:B1000)</f>
        <v>0.06934135417</v>
      </c>
      <c r="V3" s="8">
        <f>AVERAGE(F2:F1000)</f>
        <v>2.221221458</v>
      </c>
      <c r="W3" s="8">
        <f>AVERAGE(J2:J1000)</f>
        <v>2.048339479</v>
      </c>
      <c r="X3" s="8">
        <f>N2/COUNTA(M2:M1000)</f>
        <v>0.097055625</v>
      </c>
      <c r="Y3" s="8">
        <f>R2/COUNTA(Q2:Q1000)</f>
        <v>0.083964375</v>
      </c>
      <c r="Z3" s="7" t="s">
        <v>18</v>
      </c>
    </row>
    <row r="4">
      <c r="A4" s="7" t="s">
        <v>1324</v>
      </c>
      <c r="B4" s="7">
        <v>0.05378</v>
      </c>
      <c r="C4" s="7">
        <v>100.0</v>
      </c>
      <c r="D4" s="7" t="s">
        <v>15</v>
      </c>
      <c r="E4" s="7" t="s">
        <v>1325</v>
      </c>
      <c r="F4" s="7">
        <v>1.89947</v>
      </c>
      <c r="G4" s="7">
        <v>100.0</v>
      </c>
      <c r="H4" s="7" t="s">
        <v>15</v>
      </c>
      <c r="I4" s="7" t="s">
        <v>1324</v>
      </c>
      <c r="J4" s="7">
        <v>1.72304</v>
      </c>
      <c r="K4" s="7">
        <v>100.0</v>
      </c>
      <c r="L4" s="7" t="s">
        <v>15</v>
      </c>
      <c r="M4" s="7" t="s">
        <v>1325</v>
      </c>
      <c r="O4" s="7">
        <v>100.0</v>
      </c>
      <c r="P4" s="7" t="s">
        <v>15</v>
      </c>
      <c r="Q4" s="7" t="s">
        <v>1324</v>
      </c>
      <c r="S4" s="7">
        <v>100.0</v>
      </c>
      <c r="T4" s="7" t="s">
        <v>15</v>
      </c>
      <c r="U4" s="8">
        <f>STDEV(B2:B1000)</f>
        <v>0.05089699961</v>
      </c>
      <c r="V4" s="8">
        <f>STDEV(F2:F1000)</f>
        <v>0.9457150804</v>
      </c>
      <c r="W4" s="8">
        <f>STDEV(J2:J1000)</f>
        <v>0.3110181104</v>
      </c>
      <c r="X4" s="8"/>
      <c r="Y4" s="8"/>
      <c r="Z4" s="7" t="s">
        <v>20</v>
      </c>
    </row>
    <row r="5">
      <c r="A5" s="7" t="s">
        <v>1326</v>
      </c>
      <c r="B5" s="7">
        <v>0.07029</v>
      </c>
      <c r="C5" s="7">
        <v>100.0</v>
      </c>
      <c r="D5" s="7" t="s">
        <v>15</v>
      </c>
      <c r="E5" s="7" t="s">
        <v>1327</v>
      </c>
      <c r="F5" s="7">
        <v>1.86478</v>
      </c>
      <c r="G5" s="7">
        <v>100.0</v>
      </c>
      <c r="H5" s="7" t="s">
        <v>15</v>
      </c>
      <c r="I5" s="7" t="s">
        <v>1326</v>
      </c>
      <c r="J5" s="7">
        <v>1.8798</v>
      </c>
      <c r="K5" s="7">
        <v>100.0</v>
      </c>
      <c r="L5" s="7" t="s">
        <v>15</v>
      </c>
      <c r="M5" s="7" t="s">
        <v>1327</v>
      </c>
      <c r="O5" s="7">
        <v>100.0</v>
      </c>
      <c r="P5" s="7" t="s">
        <v>15</v>
      </c>
      <c r="Q5" s="7" t="s">
        <v>1326</v>
      </c>
      <c r="S5" s="7">
        <v>100.0</v>
      </c>
      <c r="T5" s="7" t="s">
        <v>15</v>
      </c>
      <c r="U5" s="8">
        <f>MAX(B2:B1000)</f>
        <v>0.40098</v>
      </c>
      <c r="V5" s="8">
        <f>MAX(F2:F1000)</f>
        <v>9.83181</v>
      </c>
      <c r="W5" s="8">
        <f>MAX(J2:J1000)</f>
        <v>3.40388</v>
      </c>
      <c r="X5" s="8"/>
      <c r="Y5" s="8"/>
      <c r="Z5" s="7" t="s">
        <v>22</v>
      </c>
    </row>
    <row r="6">
      <c r="A6" s="7" t="s">
        <v>1328</v>
      </c>
      <c r="B6" s="7">
        <v>0.03898</v>
      </c>
      <c r="C6" s="7">
        <v>100.0</v>
      </c>
      <c r="D6" s="7" t="s">
        <v>15</v>
      </c>
      <c r="E6" s="7" t="s">
        <v>1329</v>
      </c>
      <c r="F6" s="7">
        <v>2.28804</v>
      </c>
      <c r="G6" s="7">
        <v>100.0</v>
      </c>
      <c r="H6" s="7" t="s">
        <v>15</v>
      </c>
      <c r="I6" s="7" t="s">
        <v>1328</v>
      </c>
      <c r="J6" s="7">
        <v>1.89841</v>
      </c>
      <c r="K6" s="7">
        <v>100.0</v>
      </c>
      <c r="L6" s="7" t="s">
        <v>15</v>
      </c>
      <c r="M6" s="7" t="s">
        <v>1329</v>
      </c>
      <c r="O6" s="7">
        <v>100.0</v>
      </c>
      <c r="P6" s="7" t="s">
        <v>15</v>
      </c>
      <c r="Q6" s="7" t="s">
        <v>1328</v>
      </c>
      <c r="S6" s="7">
        <v>100.0</v>
      </c>
      <c r="T6" s="7" t="s">
        <v>15</v>
      </c>
      <c r="U6" s="8">
        <f>MIN(B2:B1000)</f>
        <v>0.02984</v>
      </c>
      <c r="V6" s="8">
        <f>MIN(F2:F1000)</f>
        <v>1.57449</v>
      </c>
      <c r="W6" s="8">
        <f>MIN(J2:J1000)</f>
        <v>1.67733</v>
      </c>
      <c r="X6" s="8"/>
      <c r="Y6" s="8"/>
      <c r="Z6" s="7" t="s">
        <v>24</v>
      </c>
    </row>
    <row r="7">
      <c r="A7" s="7" t="s">
        <v>1330</v>
      </c>
      <c r="B7" s="7">
        <v>0.07644</v>
      </c>
      <c r="C7" s="7">
        <v>100.0</v>
      </c>
      <c r="D7" s="7" t="s">
        <v>15</v>
      </c>
      <c r="E7" s="7" t="s">
        <v>1331</v>
      </c>
      <c r="F7" s="7">
        <v>2.50225</v>
      </c>
      <c r="G7" s="7">
        <v>100.0</v>
      </c>
      <c r="H7" s="7" t="s">
        <v>15</v>
      </c>
      <c r="I7" s="7" t="s">
        <v>1331</v>
      </c>
      <c r="J7" s="7">
        <v>1.80745</v>
      </c>
      <c r="K7" s="7">
        <v>100.0</v>
      </c>
      <c r="L7" s="7" t="s">
        <v>15</v>
      </c>
      <c r="M7" s="7" t="s">
        <v>1331</v>
      </c>
      <c r="O7" s="7">
        <v>100.0</v>
      </c>
      <c r="P7" s="7" t="s">
        <v>15</v>
      </c>
      <c r="Q7" s="7" t="s">
        <v>1330</v>
      </c>
      <c r="S7" s="7">
        <v>100.0</v>
      </c>
      <c r="T7" s="7" t="s">
        <v>15</v>
      </c>
      <c r="U7" s="8">
        <f>SUM(B2:B1000)</f>
        <v>6.65677</v>
      </c>
      <c r="V7" s="8">
        <f>SUM(F2:F1000)</f>
        <v>213.23726</v>
      </c>
      <c r="W7" s="8">
        <f>SUM(J2:J1000)</f>
        <v>196.64059</v>
      </c>
      <c r="X7" s="8">
        <f>N2</f>
        <v>9.31734</v>
      </c>
      <c r="Y7" s="8">
        <f>R2</f>
        <v>8.06058</v>
      </c>
      <c r="Z7" s="7" t="s">
        <v>28</v>
      </c>
    </row>
    <row r="8">
      <c r="A8" s="7" t="s">
        <v>1332</v>
      </c>
      <c r="B8" s="7">
        <v>0.03766</v>
      </c>
      <c r="C8" s="7">
        <v>100.0</v>
      </c>
      <c r="D8" s="7" t="s">
        <v>15</v>
      </c>
      <c r="E8" s="7" t="s">
        <v>1332</v>
      </c>
      <c r="F8" s="7">
        <v>2.75662</v>
      </c>
      <c r="G8" s="7">
        <v>100.0</v>
      </c>
      <c r="H8" s="7" t="s">
        <v>15</v>
      </c>
      <c r="I8" s="7" t="s">
        <v>1332</v>
      </c>
      <c r="J8" s="7">
        <v>2.02984</v>
      </c>
      <c r="K8" s="7">
        <v>100.0</v>
      </c>
      <c r="L8" s="7" t="s">
        <v>15</v>
      </c>
      <c r="M8" s="7" t="s">
        <v>1333</v>
      </c>
      <c r="O8" s="7">
        <v>100.0</v>
      </c>
      <c r="P8" s="7" t="s">
        <v>15</v>
      </c>
      <c r="Q8" s="7" t="s">
        <v>1332</v>
      </c>
      <c r="S8" s="7">
        <v>100.0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1334</v>
      </c>
      <c r="B9" s="7">
        <v>0.06461</v>
      </c>
      <c r="C9" s="7">
        <v>100.0</v>
      </c>
      <c r="D9" s="7" t="s">
        <v>15</v>
      </c>
      <c r="E9" s="7" t="s">
        <v>1335</v>
      </c>
      <c r="F9" s="7">
        <v>2.43452</v>
      </c>
      <c r="G9" s="7">
        <v>100.0</v>
      </c>
      <c r="H9" s="7" t="s">
        <v>15</v>
      </c>
      <c r="I9" s="7" t="s">
        <v>1335</v>
      </c>
      <c r="J9" s="7">
        <v>2.09494</v>
      </c>
      <c r="K9" s="7">
        <v>100.0</v>
      </c>
      <c r="L9" s="7" t="s">
        <v>15</v>
      </c>
      <c r="M9" s="7" t="s">
        <v>1335</v>
      </c>
      <c r="O9" s="7">
        <v>100.0</v>
      </c>
      <c r="P9" s="7" t="s">
        <v>15</v>
      </c>
      <c r="Q9" s="7" t="s">
        <v>1334</v>
      </c>
      <c r="S9" s="7">
        <v>100.0</v>
      </c>
      <c r="T9" s="7" t="s">
        <v>15</v>
      </c>
      <c r="U9" s="9">
        <f>AVERAGE(C2:C1000)</f>
        <v>98.068125</v>
      </c>
      <c r="V9" s="9">
        <f>AVERAGE(G2:G1000)</f>
        <v>99.7240625</v>
      </c>
      <c r="W9" s="9">
        <f>AVERAGE(K2:K1000)</f>
        <v>99.7240625</v>
      </c>
      <c r="X9" s="9">
        <f>AVERAGE(O2:O1000)</f>
        <v>99.7240625</v>
      </c>
      <c r="Y9" s="9">
        <f>AVERAGE(S2:S1000)</f>
        <v>99.7240625</v>
      </c>
      <c r="Z9" s="7" t="s">
        <v>18</v>
      </c>
    </row>
    <row r="10">
      <c r="A10" s="7" t="s">
        <v>1336</v>
      </c>
      <c r="B10" s="7">
        <v>0.06227</v>
      </c>
      <c r="C10" s="7">
        <v>100.0</v>
      </c>
      <c r="D10" s="7" t="s">
        <v>15</v>
      </c>
      <c r="E10" s="7" t="s">
        <v>1337</v>
      </c>
      <c r="F10" s="7">
        <v>2.11469</v>
      </c>
      <c r="G10" s="7">
        <v>100.0</v>
      </c>
      <c r="H10" s="7" t="s">
        <v>15</v>
      </c>
      <c r="I10" s="7" t="s">
        <v>1336</v>
      </c>
      <c r="J10" s="7">
        <v>1.79368</v>
      </c>
      <c r="K10" s="7">
        <v>100.0</v>
      </c>
      <c r="L10" s="7" t="s">
        <v>15</v>
      </c>
      <c r="M10" s="7" t="s">
        <v>1337</v>
      </c>
      <c r="O10" s="7">
        <v>100.0</v>
      </c>
      <c r="P10" s="7" t="s">
        <v>15</v>
      </c>
      <c r="Q10" s="7" t="s">
        <v>1336</v>
      </c>
      <c r="S10" s="7">
        <v>100.0</v>
      </c>
      <c r="T10" s="7" t="s">
        <v>15</v>
      </c>
      <c r="U10" s="9">
        <f>STDEV(C2:C1000)</f>
        <v>11.03067792</v>
      </c>
      <c r="V10" s="9">
        <f>STDEV(G2:G1000)</f>
        <v>1.33345817</v>
      </c>
      <c r="W10" s="9">
        <f>STDEV(K2:K1000)</f>
        <v>1.33345817</v>
      </c>
      <c r="X10" s="9">
        <f>STDEV(O2:O1000)</f>
        <v>1.33345817</v>
      </c>
      <c r="Y10" s="9">
        <f>STDEV(S2:S1000)</f>
        <v>1.33345817</v>
      </c>
      <c r="Z10" s="7" t="s">
        <v>20</v>
      </c>
    </row>
    <row r="11">
      <c r="A11" s="7" t="s">
        <v>1338</v>
      </c>
      <c r="B11" s="7">
        <v>0.04877</v>
      </c>
      <c r="C11" s="7">
        <v>100.0</v>
      </c>
      <c r="D11" s="7" t="s">
        <v>15</v>
      </c>
      <c r="E11" s="7" t="s">
        <v>1339</v>
      </c>
      <c r="F11" s="7">
        <v>1.7033</v>
      </c>
      <c r="G11" s="7">
        <v>100.0</v>
      </c>
      <c r="H11" s="7" t="s">
        <v>15</v>
      </c>
      <c r="I11" s="7" t="s">
        <v>1338</v>
      </c>
      <c r="J11" s="7">
        <v>1.9414</v>
      </c>
      <c r="K11" s="7">
        <v>100.0</v>
      </c>
      <c r="L11" s="7" t="s">
        <v>15</v>
      </c>
      <c r="M11" s="7" t="s">
        <v>1339</v>
      </c>
      <c r="O11" s="7">
        <v>100.0</v>
      </c>
      <c r="P11" s="7" t="s">
        <v>15</v>
      </c>
      <c r="Q11" s="7" t="s">
        <v>1338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1340</v>
      </c>
      <c r="B12" s="7">
        <v>0.05402</v>
      </c>
      <c r="C12" s="7">
        <v>100.0</v>
      </c>
      <c r="D12" s="7" t="s">
        <v>15</v>
      </c>
      <c r="E12" s="7" t="s">
        <v>1341</v>
      </c>
      <c r="F12" s="7">
        <v>2.03846</v>
      </c>
      <c r="G12" s="7">
        <v>100.0</v>
      </c>
      <c r="H12" s="7" t="s">
        <v>15</v>
      </c>
      <c r="I12" s="7" t="s">
        <v>1341</v>
      </c>
      <c r="J12" s="7">
        <v>1.9197</v>
      </c>
      <c r="K12" s="7">
        <v>100.0</v>
      </c>
      <c r="L12" s="7" t="s">
        <v>15</v>
      </c>
      <c r="M12" s="7" t="s">
        <v>1341</v>
      </c>
      <c r="O12" s="7">
        <v>100.0</v>
      </c>
      <c r="P12" s="7" t="s">
        <v>15</v>
      </c>
      <c r="Q12" s="7" t="s">
        <v>1340</v>
      </c>
      <c r="S12" s="7">
        <v>100.0</v>
      </c>
      <c r="T12" s="7" t="s">
        <v>15</v>
      </c>
      <c r="U12" s="9">
        <f>MIN(C2:C1000)</f>
        <v>0</v>
      </c>
      <c r="V12" s="9">
        <f>MIN(G2:G1000)</f>
        <v>92.68</v>
      </c>
      <c r="W12" s="9">
        <f>MIN(K2:K1000)</f>
        <v>92.68</v>
      </c>
      <c r="X12" s="9">
        <f>MIN(O2:O1000)</f>
        <v>92.68</v>
      </c>
      <c r="Y12" s="9">
        <f>MIN(S2:S1000)</f>
        <v>92.68</v>
      </c>
      <c r="Z12" s="7" t="s">
        <v>24</v>
      </c>
    </row>
    <row r="13">
      <c r="A13" s="7" t="s">
        <v>1342</v>
      </c>
      <c r="B13" s="7">
        <v>0.03609</v>
      </c>
      <c r="C13" s="7">
        <v>100.0</v>
      </c>
      <c r="D13" s="7" t="s">
        <v>15</v>
      </c>
      <c r="E13" s="7" t="s">
        <v>1343</v>
      </c>
      <c r="F13" s="7">
        <v>2.55402</v>
      </c>
      <c r="G13" s="7">
        <v>100.0</v>
      </c>
      <c r="H13" s="7" t="s">
        <v>15</v>
      </c>
      <c r="I13" s="7" t="s">
        <v>1342</v>
      </c>
      <c r="J13" s="7">
        <v>3.25414</v>
      </c>
      <c r="K13" s="7">
        <v>100.0</v>
      </c>
      <c r="L13" s="7" t="s">
        <v>15</v>
      </c>
      <c r="M13" s="7" t="s">
        <v>1343</v>
      </c>
      <c r="O13" s="7">
        <v>100.0</v>
      </c>
      <c r="P13" s="7" t="s">
        <v>15</v>
      </c>
      <c r="Q13" s="7" t="s">
        <v>1342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1344</v>
      </c>
      <c r="B14" s="7">
        <v>0.05505</v>
      </c>
      <c r="C14" s="7">
        <v>100.0</v>
      </c>
      <c r="D14" s="7" t="s">
        <v>15</v>
      </c>
      <c r="E14" s="7" t="s">
        <v>1345</v>
      </c>
      <c r="F14" s="7">
        <v>1.83919</v>
      </c>
      <c r="G14" s="7">
        <v>100.0</v>
      </c>
      <c r="H14" s="7" t="s">
        <v>15</v>
      </c>
      <c r="I14" s="7" t="s">
        <v>1345</v>
      </c>
      <c r="J14" s="7">
        <v>2.03225</v>
      </c>
      <c r="K14" s="7">
        <v>100.0</v>
      </c>
      <c r="L14" s="7" t="s">
        <v>15</v>
      </c>
      <c r="M14" s="7" t="s">
        <v>1345</v>
      </c>
      <c r="O14" s="7">
        <v>100.0</v>
      </c>
      <c r="P14" s="7" t="s">
        <v>15</v>
      </c>
      <c r="Q14" s="7" t="s">
        <v>1344</v>
      </c>
      <c r="S14" s="7">
        <v>100.0</v>
      </c>
      <c r="T14" s="7" t="s">
        <v>15</v>
      </c>
      <c r="U14" s="8">
        <f t="shared" ref="U14:Y14" si="1">U15/(U15+U16+U17)</f>
        <v>0.9270833333</v>
      </c>
      <c r="V14" s="8">
        <f t="shared" si="1"/>
        <v>0.9583333333</v>
      </c>
      <c r="W14" s="8">
        <f t="shared" si="1"/>
        <v>0.9583333333</v>
      </c>
      <c r="X14" s="8">
        <f t="shared" si="1"/>
        <v>0.9583333333</v>
      </c>
      <c r="Y14" s="8">
        <f t="shared" si="1"/>
        <v>0.9583333333</v>
      </c>
      <c r="Z14" s="7" t="s">
        <v>44</v>
      </c>
    </row>
    <row r="15">
      <c r="A15" s="7" t="s">
        <v>1346</v>
      </c>
      <c r="B15" s="7">
        <v>0.05412</v>
      </c>
      <c r="C15" s="7">
        <v>100.0</v>
      </c>
      <c r="D15" s="7" t="s">
        <v>15</v>
      </c>
      <c r="E15" s="7" t="s">
        <v>1347</v>
      </c>
      <c r="F15" s="7">
        <v>2.16335</v>
      </c>
      <c r="G15" s="7">
        <v>100.0</v>
      </c>
      <c r="H15" s="7" t="s">
        <v>15</v>
      </c>
      <c r="I15" s="7" t="s">
        <v>1347</v>
      </c>
      <c r="J15" s="7">
        <v>2.02677</v>
      </c>
      <c r="K15" s="7">
        <v>100.0</v>
      </c>
      <c r="L15" s="7" t="s">
        <v>15</v>
      </c>
      <c r="M15" s="7" t="s">
        <v>1347</v>
      </c>
      <c r="O15" s="7">
        <v>100.0</v>
      </c>
      <c r="P15" s="7" t="s">
        <v>15</v>
      </c>
      <c r="Q15" s="7" t="s">
        <v>1346</v>
      </c>
      <c r="S15" s="7">
        <v>100.0</v>
      </c>
      <c r="T15" s="7" t="s">
        <v>15</v>
      </c>
      <c r="U15" s="10">
        <f>COUNTIF(D2:D1000,"VALID")</f>
        <v>89</v>
      </c>
      <c r="V15" s="10">
        <f>COUNTIF(H2:H1000,"VALID")</f>
        <v>92</v>
      </c>
      <c r="W15" s="10">
        <f>COUNTIF(L2:L1000,"VALID")</f>
        <v>92</v>
      </c>
      <c r="X15" s="10">
        <f>COUNTIF(P2:P1000,"VALID")</f>
        <v>92</v>
      </c>
      <c r="Y15" s="10">
        <f>COUNTIF(T2:T1000,"VALID")</f>
        <v>92</v>
      </c>
      <c r="Z15" s="7" t="s">
        <v>47</v>
      </c>
    </row>
    <row r="16">
      <c r="A16" s="7" t="s">
        <v>1348</v>
      </c>
      <c r="B16" s="7">
        <v>0.12</v>
      </c>
      <c r="C16" s="7">
        <v>100.0</v>
      </c>
      <c r="D16" s="7" t="s">
        <v>15</v>
      </c>
      <c r="E16" s="7" t="s">
        <v>1348</v>
      </c>
      <c r="F16" s="7">
        <v>2.19316</v>
      </c>
      <c r="G16" s="7">
        <v>100.0</v>
      </c>
      <c r="H16" s="7" t="s">
        <v>15</v>
      </c>
      <c r="I16" s="7" t="s">
        <v>1348</v>
      </c>
      <c r="J16" s="7">
        <v>1.92079</v>
      </c>
      <c r="K16" s="7">
        <v>100.0</v>
      </c>
      <c r="L16" s="7" t="s">
        <v>15</v>
      </c>
      <c r="M16" s="7" t="s">
        <v>1349</v>
      </c>
      <c r="O16" s="7">
        <v>100.0</v>
      </c>
      <c r="P16" s="7" t="s">
        <v>15</v>
      </c>
      <c r="Q16" s="7" t="s">
        <v>1348</v>
      </c>
      <c r="S16" s="7">
        <v>100.0</v>
      </c>
      <c r="T16" s="7" t="s">
        <v>15</v>
      </c>
      <c r="U16" s="10">
        <f>COUNTIF(D2:D1000,"INVALID")</f>
        <v>6</v>
      </c>
      <c r="V16" s="10">
        <f>COUNTIF(H2:H1000,"INVALID")</f>
        <v>4</v>
      </c>
      <c r="W16" s="10">
        <f>COUNTIF(L2:L1000,"INVALID")</f>
        <v>4</v>
      </c>
      <c r="X16" s="10">
        <f>COUNTIF(P2:P1000,"INVALID")</f>
        <v>4</v>
      </c>
      <c r="Y16" s="10">
        <f>COUNTIF(T2:T1000,"INVALID")</f>
        <v>4</v>
      </c>
      <c r="Z16" s="7" t="s">
        <v>50</v>
      </c>
    </row>
    <row r="17">
      <c r="A17" s="7" t="s">
        <v>1350</v>
      </c>
      <c r="B17" s="7">
        <v>0.05526</v>
      </c>
      <c r="C17" s="7">
        <v>100.0</v>
      </c>
      <c r="D17" s="7" t="s">
        <v>15</v>
      </c>
      <c r="E17" s="7" t="s">
        <v>1351</v>
      </c>
      <c r="F17" s="7">
        <v>2.14705</v>
      </c>
      <c r="G17" s="7">
        <v>100.0</v>
      </c>
      <c r="H17" s="7" t="s">
        <v>15</v>
      </c>
      <c r="I17" s="7" t="s">
        <v>1351</v>
      </c>
      <c r="J17" s="7">
        <v>1.67733</v>
      </c>
      <c r="K17" s="7">
        <v>100.0</v>
      </c>
      <c r="L17" s="7" t="s">
        <v>15</v>
      </c>
      <c r="M17" s="7" t="s">
        <v>1351</v>
      </c>
      <c r="O17" s="7">
        <v>100.0</v>
      </c>
      <c r="P17" s="7" t="s">
        <v>15</v>
      </c>
      <c r="Q17" s="7" t="s">
        <v>1350</v>
      </c>
      <c r="S17" s="7">
        <v>100.0</v>
      </c>
      <c r="T17" s="7" t="s">
        <v>15</v>
      </c>
      <c r="U17" s="10">
        <f>COUNTIF(D2:D1000,"ERROR")</f>
        <v>1</v>
      </c>
      <c r="V17" s="10">
        <f>COUNTIF(H2:H1000,"ERROR")</f>
        <v>0</v>
      </c>
      <c r="W17" s="10">
        <f>COUNTIF(L2:L1000,"ERROR")</f>
        <v>0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1352</v>
      </c>
      <c r="B18" s="7">
        <v>0.03976</v>
      </c>
      <c r="C18" s="7">
        <v>100.0</v>
      </c>
      <c r="D18" s="7" t="s">
        <v>15</v>
      </c>
      <c r="E18" s="7" t="s">
        <v>1353</v>
      </c>
      <c r="F18" s="7">
        <v>2.72219</v>
      </c>
      <c r="G18" s="7">
        <v>100.0</v>
      </c>
      <c r="H18" s="7" t="s">
        <v>15</v>
      </c>
      <c r="I18" s="7" t="s">
        <v>1353</v>
      </c>
      <c r="J18" s="7">
        <v>2.04483</v>
      </c>
      <c r="K18" s="7">
        <v>100.0</v>
      </c>
      <c r="L18" s="7" t="s">
        <v>15</v>
      </c>
      <c r="M18" s="7" t="s">
        <v>1353</v>
      </c>
      <c r="O18" s="7">
        <v>100.0</v>
      </c>
      <c r="P18" s="7" t="s">
        <v>15</v>
      </c>
      <c r="Q18" s="7" t="s">
        <v>1352</v>
      </c>
      <c r="S18" s="7">
        <v>100.0</v>
      </c>
      <c r="T18" s="7" t="s">
        <v>15</v>
      </c>
      <c r="U18" s="11">
        <f t="shared" ref="U18:Y18" si="2">U17/(U17+U16+U15)</f>
        <v>0.01041666667</v>
      </c>
      <c r="V18" s="11">
        <f t="shared" si="2"/>
        <v>0</v>
      </c>
      <c r="W18" s="11">
        <f t="shared" si="2"/>
        <v>0</v>
      </c>
      <c r="X18" s="11">
        <f t="shared" si="2"/>
        <v>0</v>
      </c>
      <c r="Y18" s="11">
        <f t="shared" si="2"/>
        <v>0</v>
      </c>
      <c r="Z18" s="17" t="s">
        <v>57</v>
      </c>
    </row>
    <row r="19">
      <c r="A19" s="7" t="s">
        <v>1354</v>
      </c>
      <c r="B19" s="7">
        <v>0.03788</v>
      </c>
      <c r="C19" s="7">
        <v>100.0</v>
      </c>
      <c r="D19" s="7" t="s">
        <v>15</v>
      </c>
      <c r="E19" s="7" t="s">
        <v>1355</v>
      </c>
      <c r="F19" s="7">
        <v>2.06062</v>
      </c>
      <c r="G19" s="7">
        <v>100.0</v>
      </c>
      <c r="H19" s="7" t="s">
        <v>15</v>
      </c>
      <c r="I19" s="7" t="s">
        <v>1354</v>
      </c>
      <c r="J19" s="7">
        <v>1.74925</v>
      </c>
      <c r="K19" s="7">
        <v>100.0</v>
      </c>
      <c r="L19" s="7" t="s">
        <v>15</v>
      </c>
      <c r="M19" s="7" t="s">
        <v>1355</v>
      </c>
      <c r="O19" s="7">
        <v>100.0</v>
      </c>
      <c r="P19" s="7" t="s">
        <v>15</v>
      </c>
      <c r="Q19" s="7" t="s">
        <v>1354</v>
      </c>
      <c r="S19" s="7">
        <v>100.0</v>
      </c>
      <c r="T19" s="7" t="s">
        <v>15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1356</v>
      </c>
      <c r="B20" s="7">
        <v>0.03128</v>
      </c>
      <c r="C20" s="7">
        <v>100.0</v>
      </c>
      <c r="D20" s="7" t="s">
        <v>15</v>
      </c>
      <c r="E20" s="7" t="s">
        <v>1357</v>
      </c>
      <c r="F20" s="7">
        <v>1.70401</v>
      </c>
      <c r="G20" s="7">
        <v>100.0</v>
      </c>
      <c r="H20" s="7" t="s">
        <v>15</v>
      </c>
      <c r="I20" s="7" t="s">
        <v>1357</v>
      </c>
      <c r="J20" s="7">
        <v>1.94785</v>
      </c>
      <c r="K20" s="7">
        <v>100.0</v>
      </c>
      <c r="L20" s="7" t="s">
        <v>15</v>
      </c>
      <c r="M20" s="7" t="s">
        <v>1357</v>
      </c>
      <c r="O20" s="7">
        <v>100.0</v>
      </c>
      <c r="P20" s="7" t="s">
        <v>15</v>
      </c>
      <c r="Q20" s="7" t="s">
        <v>1356</v>
      </c>
      <c r="S20" s="7">
        <v>100.0</v>
      </c>
      <c r="T20" s="7" t="s">
        <v>15</v>
      </c>
      <c r="U20" s="8">
        <f>COUNTIF(C2:C1000,100)/COUNTA(A2:A1000)</f>
        <v>0.9270833333</v>
      </c>
      <c r="V20" s="8">
        <f>COUNTIF(G2:G1000,100)/COUNTA(E2:E1000)</f>
        <v>0.9583333333</v>
      </c>
      <c r="W20" s="8">
        <f>COUNTIF(K2:K1000,100)/COUNTA(I2:I1000)</f>
        <v>0.9583333333</v>
      </c>
      <c r="X20" s="8">
        <f>COUNTIF(O2:O1000,100)/COUNTA(M2:M1000)</f>
        <v>0.9583333333</v>
      </c>
      <c r="Y20" s="8">
        <f>COUNTIF(S2:S1000,100)/COUNTA(Q2:Q1000)</f>
        <v>0.9583333333</v>
      </c>
      <c r="Z20" s="7" t="s">
        <v>63</v>
      </c>
    </row>
    <row r="21">
      <c r="A21" s="7" t="s">
        <v>1358</v>
      </c>
      <c r="B21" s="7">
        <v>0.06587</v>
      </c>
      <c r="C21" s="7">
        <v>100.0</v>
      </c>
      <c r="D21" s="7" t="s">
        <v>15</v>
      </c>
      <c r="E21" s="7" t="s">
        <v>1359</v>
      </c>
      <c r="F21" s="7">
        <v>1.91951</v>
      </c>
      <c r="G21" s="7">
        <v>100.0</v>
      </c>
      <c r="H21" s="7" t="s">
        <v>15</v>
      </c>
      <c r="I21" s="7" t="s">
        <v>1359</v>
      </c>
      <c r="J21" s="7">
        <v>1.80346</v>
      </c>
      <c r="K21" s="7">
        <v>100.0</v>
      </c>
      <c r="L21" s="7" t="s">
        <v>15</v>
      </c>
      <c r="M21" s="7" t="s">
        <v>1359</v>
      </c>
      <c r="O21" s="7">
        <v>100.0</v>
      </c>
      <c r="P21" s="7" t="s">
        <v>15</v>
      </c>
      <c r="Q21" s="7" t="s">
        <v>1358</v>
      </c>
      <c r="S21" s="7">
        <v>100.0</v>
      </c>
      <c r="T21" s="7" t="s">
        <v>15</v>
      </c>
      <c r="U21" s="10">
        <f>COUNTIF(C2:C1000,100)</f>
        <v>89</v>
      </c>
      <c r="V21" s="10">
        <f>COUNTIF(G2:G1000,100)</f>
        <v>92</v>
      </c>
      <c r="W21" s="10">
        <f>COUNTIF(K2:K1000,100)</f>
        <v>92</v>
      </c>
      <c r="X21" s="10">
        <f>COUNTIF(O2:O1000,100)</f>
        <v>92</v>
      </c>
      <c r="Y21" s="10">
        <f>COUNTIF(S2:S1000,100)</f>
        <v>92</v>
      </c>
      <c r="Z21" s="7" t="s">
        <v>65</v>
      </c>
    </row>
    <row r="22">
      <c r="A22" s="7" t="s">
        <v>1360</v>
      </c>
      <c r="B22" s="7">
        <v>0.06569</v>
      </c>
      <c r="C22" s="7">
        <v>100.0</v>
      </c>
      <c r="D22" s="7" t="s">
        <v>15</v>
      </c>
      <c r="E22" s="7" t="s">
        <v>1361</v>
      </c>
      <c r="F22" s="7">
        <v>2.03771</v>
      </c>
      <c r="G22" s="7">
        <v>100.0</v>
      </c>
      <c r="H22" s="7" t="s">
        <v>15</v>
      </c>
      <c r="I22" s="7" t="s">
        <v>1361</v>
      </c>
      <c r="J22" s="7">
        <v>1.88675</v>
      </c>
      <c r="K22" s="7">
        <v>100.0</v>
      </c>
      <c r="L22" s="7" t="s">
        <v>15</v>
      </c>
      <c r="M22" s="7" t="s">
        <v>1361</v>
      </c>
      <c r="O22" s="7">
        <v>100.0</v>
      </c>
      <c r="P22" s="7" t="s">
        <v>15</v>
      </c>
      <c r="Q22" s="7" t="s">
        <v>1360</v>
      </c>
      <c r="S22" s="7">
        <v>100.0</v>
      </c>
      <c r="T22" s="7" t="s">
        <v>15</v>
      </c>
      <c r="U22" s="10">
        <f>COUNTA(A2:A1000)-COUNTIF(C2:C1000,100)</f>
        <v>7</v>
      </c>
      <c r="V22" s="10">
        <f>COUNTA(E2:E1000)-COUNTIF(G2:G1000,100)</f>
        <v>4</v>
      </c>
      <c r="W22" s="10">
        <f>COUNTA(I2:I1000)-COUNTIF(K2:K1000,100)</f>
        <v>4</v>
      </c>
      <c r="X22" s="10">
        <f>COUNTA(M2:M1000)-COUNTIF(O2:O1000,100)</f>
        <v>4</v>
      </c>
      <c r="Y22" s="10">
        <f>COUNTA(Q2:Q1000)-COUNTIF(S2:S1000,100)</f>
        <v>4</v>
      </c>
      <c r="Z22" s="7" t="s">
        <v>69</v>
      </c>
    </row>
    <row r="23">
      <c r="A23" s="7" t="s">
        <v>1362</v>
      </c>
      <c r="B23" s="7">
        <v>0.03415</v>
      </c>
      <c r="C23" s="7">
        <v>100.0</v>
      </c>
      <c r="D23" s="7" t="s">
        <v>15</v>
      </c>
      <c r="E23" s="7" t="s">
        <v>1363</v>
      </c>
      <c r="F23" s="7">
        <v>1.97153</v>
      </c>
      <c r="G23" s="7">
        <v>100.0</v>
      </c>
      <c r="H23" s="7" t="s">
        <v>15</v>
      </c>
      <c r="I23" s="7" t="s">
        <v>1363</v>
      </c>
      <c r="J23" s="7">
        <v>2.07023</v>
      </c>
      <c r="K23" s="7">
        <v>100.0</v>
      </c>
      <c r="L23" s="7" t="s">
        <v>15</v>
      </c>
      <c r="M23" s="7" t="s">
        <v>1363</v>
      </c>
      <c r="O23" s="7">
        <v>100.0</v>
      </c>
      <c r="P23" s="7" t="s">
        <v>15</v>
      </c>
      <c r="Q23" s="7" t="s">
        <v>1362</v>
      </c>
      <c r="S23" s="7">
        <v>100.0</v>
      </c>
      <c r="T23" s="7" t="s">
        <v>15</v>
      </c>
    </row>
    <row r="24">
      <c r="A24" s="7" t="s">
        <v>1364</v>
      </c>
      <c r="B24" s="7">
        <v>0.03152</v>
      </c>
      <c r="C24" s="7">
        <v>100.0</v>
      </c>
      <c r="D24" s="7" t="s">
        <v>15</v>
      </c>
      <c r="E24" s="7" t="s">
        <v>1365</v>
      </c>
      <c r="F24" s="7">
        <v>1.76314</v>
      </c>
      <c r="G24" s="7">
        <v>100.0</v>
      </c>
      <c r="H24" s="7" t="s">
        <v>15</v>
      </c>
      <c r="I24" s="7" t="s">
        <v>1365</v>
      </c>
      <c r="J24" s="7">
        <v>1.83439</v>
      </c>
      <c r="K24" s="7">
        <v>100.0</v>
      </c>
      <c r="L24" s="7" t="s">
        <v>15</v>
      </c>
      <c r="M24" s="7" t="s">
        <v>1365</v>
      </c>
      <c r="O24" s="7">
        <v>100.0</v>
      </c>
      <c r="P24" s="7" t="s">
        <v>15</v>
      </c>
      <c r="Q24" s="7" t="s">
        <v>1364</v>
      </c>
      <c r="S24" s="7">
        <v>100.0</v>
      </c>
      <c r="T24" s="7" t="s">
        <v>15</v>
      </c>
    </row>
    <row r="25">
      <c r="A25" s="7" t="s">
        <v>1366</v>
      </c>
      <c r="B25" s="7">
        <v>0.03804</v>
      </c>
      <c r="C25" s="7">
        <v>100.0</v>
      </c>
      <c r="D25" s="7" t="s">
        <v>15</v>
      </c>
      <c r="E25" s="7" t="s">
        <v>1367</v>
      </c>
      <c r="F25" s="7">
        <v>1.91069</v>
      </c>
      <c r="G25" s="7">
        <v>100.0</v>
      </c>
      <c r="H25" s="7" t="s">
        <v>15</v>
      </c>
      <c r="I25" s="7" t="s">
        <v>1367</v>
      </c>
      <c r="J25" s="7">
        <v>2.06278</v>
      </c>
      <c r="K25" s="7">
        <v>100.0</v>
      </c>
      <c r="L25" s="7" t="s">
        <v>15</v>
      </c>
      <c r="M25" s="7" t="s">
        <v>1367</v>
      </c>
      <c r="O25" s="7">
        <v>100.0</v>
      </c>
      <c r="P25" s="7" t="s">
        <v>15</v>
      </c>
      <c r="Q25" s="7" t="s">
        <v>1366</v>
      </c>
      <c r="S25" s="7">
        <v>100.0</v>
      </c>
      <c r="T25" s="7" t="s">
        <v>15</v>
      </c>
    </row>
    <row r="26">
      <c r="A26" s="7" t="s">
        <v>1368</v>
      </c>
      <c r="B26" s="7">
        <v>0.06408</v>
      </c>
      <c r="C26" s="7">
        <v>100.0</v>
      </c>
      <c r="D26" s="7" t="s">
        <v>15</v>
      </c>
      <c r="E26" s="7" t="s">
        <v>1369</v>
      </c>
      <c r="F26" s="7">
        <v>1.89307</v>
      </c>
      <c r="G26" s="7">
        <v>100.0</v>
      </c>
      <c r="H26" s="7" t="s">
        <v>15</v>
      </c>
      <c r="I26" s="7" t="s">
        <v>1368</v>
      </c>
      <c r="J26" s="7">
        <v>2.06599</v>
      </c>
      <c r="K26" s="7">
        <v>100.0</v>
      </c>
      <c r="L26" s="7" t="s">
        <v>15</v>
      </c>
      <c r="M26" s="7" t="s">
        <v>1369</v>
      </c>
      <c r="O26" s="7">
        <v>100.0</v>
      </c>
      <c r="P26" s="7" t="s">
        <v>15</v>
      </c>
      <c r="Q26" s="7" t="s">
        <v>1368</v>
      </c>
      <c r="S26" s="7">
        <v>100.0</v>
      </c>
      <c r="T26" s="7" t="s">
        <v>15</v>
      </c>
    </row>
    <row r="27">
      <c r="A27" s="7" t="s">
        <v>1370</v>
      </c>
      <c r="B27" s="7">
        <v>0.06051</v>
      </c>
      <c r="C27" s="7">
        <v>100.0</v>
      </c>
      <c r="D27" s="7" t="s">
        <v>15</v>
      </c>
      <c r="E27" s="7" t="s">
        <v>1371</v>
      </c>
      <c r="F27" s="7">
        <v>2.06766</v>
      </c>
      <c r="G27" s="7">
        <v>100.0</v>
      </c>
      <c r="H27" s="7" t="s">
        <v>15</v>
      </c>
      <c r="I27" s="7" t="s">
        <v>1370</v>
      </c>
      <c r="J27" s="7">
        <v>1.9484</v>
      </c>
      <c r="K27" s="7">
        <v>100.0</v>
      </c>
      <c r="L27" s="7" t="s">
        <v>15</v>
      </c>
      <c r="M27" s="7" t="s">
        <v>1371</v>
      </c>
      <c r="O27" s="7">
        <v>100.0</v>
      </c>
      <c r="P27" s="7" t="s">
        <v>15</v>
      </c>
      <c r="Q27" s="7" t="s">
        <v>1370</v>
      </c>
      <c r="S27" s="7">
        <v>100.0</v>
      </c>
      <c r="T27" s="7" t="s">
        <v>15</v>
      </c>
    </row>
    <row r="28">
      <c r="A28" s="7" t="s">
        <v>1372</v>
      </c>
      <c r="B28" s="7">
        <v>0.16214</v>
      </c>
      <c r="C28" s="7">
        <v>100.0</v>
      </c>
      <c r="D28" s="7" t="s">
        <v>15</v>
      </c>
      <c r="E28" s="7" t="s">
        <v>1373</v>
      </c>
      <c r="F28" s="7">
        <v>1.71719</v>
      </c>
      <c r="G28" s="7">
        <v>100.0</v>
      </c>
      <c r="H28" s="7" t="s">
        <v>15</v>
      </c>
      <c r="I28" s="7" t="s">
        <v>1373</v>
      </c>
      <c r="J28" s="7">
        <v>1.76383</v>
      </c>
      <c r="K28" s="7">
        <v>100.0</v>
      </c>
      <c r="L28" s="7" t="s">
        <v>15</v>
      </c>
      <c r="M28" s="7" t="s">
        <v>1373</v>
      </c>
      <c r="O28" s="7">
        <v>100.0</v>
      </c>
      <c r="P28" s="7" t="s">
        <v>15</v>
      </c>
      <c r="Q28" s="7" t="s">
        <v>1372</v>
      </c>
      <c r="S28" s="7">
        <v>100.0</v>
      </c>
      <c r="T28" s="7" t="s">
        <v>15</v>
      </c>
    </row>
    <row r="29">
      <c r="A29" s="7" t="s">
        <v>1374</v>
      </c>
      <c r="B29" s="7">
        <v>0.05517</v>
      </c>
      <c r="C29" s="7">
        <v>100.0</v>
      </c>
      <c r="D29" s="7" t="s">
        <v>15</v>
      </c>
      <c r="E29" s="7" t="s">
        <v>1375</v>
      </c>
      <c r="F29" s="7">
        <v>2.04276</v>
      </c>
      <c r="G29" s="7">
        <v>100.0</v>
      </c>
      <c r="H29" s="7" t="s">
        <v>15</v>
      </c>
      <c r="I29" s="7" t="s">
        <v>1374</v>
      </c>
      <c r="J29" s="7">
        <v>1.7612</v>
      </c>
      <c r="K29" s="7">
        <v>100.0</v>
      </c>
      <c r="L29" s="7" t="s">
        <v>15</v>
      </c>
      <c r="M29" s="7" t="s">
        <v>1375</v>
      </c>
      <c r="O29" s="7">
        <v>100.0</v>
      </c>
      <c r="P29" s="7" t="s">
        <v>15</v>
      </c>
      <c r="Q29" s="7" t="s">
        <v>1374</v>
      </c>
      <c r="S29" s="7">
        <v>100.0</v>
      </c>
      <c r="T29" s="7" t="s">
        <v>15</v>
      </c>
    </row>
    <row r="30">
      <c r="A30" s="7" t="s">
        <v>624</v>
      </c>
      <c r="B30" s="7">
        <v>0.06228</v>
      </c>
      <c r="C30" s="7">
        <v>0.0</v>
      </c>
      <c r="D30" s="7" t="s">
        <v>99</v>
      </c>
      <c r="E30" s="7" t="s">
        <v>1376</v>
      </c>
      <c r="F30" s="7">
        <v>1.80188</v>
      </c>
      <c r="G30" s="7">
        <v>100.0</v>
      </c>
      <c r="H30" s="7" t="s">
        <v>15</v>
      </c>
      <c r="I30" s="7" t="s">
        <v>1377</v>
      </c>
      <c r="J30" s="7">
        <v>1.85161</v>
      </c>
      <c r="K30" s="7">
        <v>100.0</v>
      </c>
      <c r="L30" s="7" t="s">
        <v>15</v>
      </c>
      <c r="M30" s="7" t="s">
        <v>1376</v>
      </c>
      <c r="O30" s="7">
        <v>100.0</v>
      </c>
      <c r="P30" s="7" t="s">
        <v>15</v>
      </c>
      <c r="Q30" s="7" t="s">
        <v>1377</v>
      </c>
      <c r="S30" s="7">
        <v>100.0</v>
      </c>
      <c r="T30" s="7" t="s">
        <v>15</v>
      </c>
    </row>
    <row r="31">
      <c r="A31" s="7" t="s">
        <v>1378</v>
      </c>
      <c r="B31" s="7">
        <v>0.04976</v>
      </c>
      <c r="C31" s="7">
        <v>100.0</v>
      </c>
      <c r="D31" s="7" t="s">
        <v>15</v>
      </c>
      <c r="E31" s="7" t="s">
        <v>1379</v>
      </c>
      <c r="F31" s="7">
        <v>1.68337</v>
      </c>
      <c r="G31" s="7">
        <v>100.0</v>
      </c>
      <c r="H31" s="7" t="s">
        <v>15</v>
      </c>
      <c r="I31" s="7" t="s">
        <v>1378</v>
      </c>
      <c r="J31" s="7">
        <v>1.94776</v>
      </c>
      <c r="K31" s="7">
        <v>100.0</v>
      </c>
      <c r="L31" s="7" t="s">
        <v>15</v>
      </c>
      <c r="M31" s="7" t="s">
        <v>1379</v>
      </c>
      <c r="O31" s="7">
        <v>100.0</v>
      </c>
      <c r="P31" s="7" t="s">
        <v>15</v>
      </c>
      <c r="Q31" s="7" t="s">
        <v>1378</v>
      </c>
      <c r="S31" s="7">
        <v>100.0</v>
      </c>
      <c r="T31" s="7" t="s">
        <v>15</v>
      </c>
    </row>
    <row r="32">
      <c r="A32" s="7" t="s">
        <v>1380</v>
      </c>
      <c r="B32" s="7">
        <v>0.06634</v>
      </c>
      <c r="C32" s="7">
        <v>71.64</v>
      </c>
      <c r="D32" s="7" t="s">
        <v>26</v>
      </c>
      <c r="E32" s="7" t="s">
        <v>1381</v>
      </c>
      <c r="F32" s="7">
        <v>1.81684</v>
      </c>
      <c r="G32" s="7">
        <v>100.0</v>
      </c>
      <c r="H32" s="7" t="s">
        <v>15</v>
      </c>
      <c r="I32" s="7" t="s">
        <v>1381</v>
      </c>
      <c r="J32" s="7">
        <v>1.95689</v>
      </c>
      <c r="K32" s="7">
        <v>100.0</v>
      </c>
      <c r="L32" s="7" t="s">
        <v>15</v>
      </c>
      <c r="M32" s="7" t="s">
        <v>1381</v>
      </c>
      <c r="O32" s="7">
        <v>100.0</v>
      </c>
      <c r="P32" s="7" t="s">
        <v>15</v>
      </c>
      <c r="Q32" s="7" t="s">
        <v>1382</v>
      </c>
      <c r="S32" s="7">
        <v>100.0</v>
      </c>
      <c r="T32" s="7" t="s">
        <v>15</v>
      </c>
    </row>
    <row r="33">
      <c r="A33" s="7" t="s">
        <v>1383</v>
      </c>
      <c r="B33" s="7">
        <v>0.05124</v>
      </c>
      <c r="C33" s="7">
        <v>69.39</v>
      </c>
      <c r="D33" s="7" t="s">
        <v>26</v>
      </c>
      <c r="E33" s="7" t="s">
        <v>1384</v>
      </c>
      <c r="F33" s="7">
        <v>1.82524</v>
      </c>
      <c r="G33" s="7">
        <v>100.0</v>
      </c>
      <c r="H33" s="7" t="s">
        <v>15</v>
      </c>
      <c r="I33" s="7" t="s">
        <v>1384</v>
      </c>
      <c r="J33" s="7">
        <v>2.42053</v>
      </c>
      <c r="K33" s="7">
        <v>100.0</v>
      </c>
      <c r="L33" s="7" t="s">
        <v>15</v>
      </c>
      <c r="M33" s="7" t="s">
        <v>1384</v>
      </c>
      <c r="O33" s="7">
        <v>100.0</v>
      </c>
      <c r="P33" s="7" t="s">
        <v>15</v>
      </c>
      <c r="Q33" s="7" t="s">
        <v>1385</v>
      </c>
      <c r="S33" s="7">
        <v>100.0</v>
      </c>
      <c r="T33" s="7" t="s">
        <v>15</v>
      </c>
    </row>
    <row r="34">
      <c r="A34" s="7" t="s">
        <v>1386</v>
      </c>
      <c r="B34" s="7">
        <v>0.05789</v>
      </c>
      <c r="C34" s="7">
        <v>100.0</v>
      </c>
      <c r="D34" s="7" t="s">
        <v>15</v>
      </c>
      <c r="E34" s="7" t="s">
        <v>1387</v>
      </c>
      <c r="F34" s="7">
        <v>1.88552</v>
      </c>
      <c r="G34" s="7">
        <v>100.0</v>
      </c>
      <c r="H34" s="7" t="s">
        <v>15</v>
      </c>
      <c r="I34" s="7" t="s">
        <v>1386</v>
      </c>
      <c r="J34" s="7">
        <v>1.98183</v>
      </c>
      <c r="K34" s="7">
        <v>100.0</v>
      </c>
      <c r="L34" s="7" t="s">
        <v>15</v>
      </c>
      <c r="M34" s="7" t="s">
        <v>1387</v>
      </c>
      <c r="O34" s="7">
        <v>100.0</v>
      </c>
      <c r="P34" s="7" t="s">
        <v>15</v>
      </c>
      <c r="Q34" s="7" t="s">
        <v>1386</v>
      </c>
      <c r="S34" s="7">
        <v>100.0</v>
      </c>
      <c r="T34" s="7" t="s">
        <v>15</v>
      </c>
    </row>
    <row r="35">
      <c r="A35" s="7" t="s">
        <v>1388</v>
      </c>
      <c r="B35" s="7">
        <v>0.05026</v>
      </c>
      <c r="C35" s="7">
        <v>100.0</v>
      </c>
      <c r="D35" s="7" t="s">
        <v>15</v>
      </c>
      <c r="E35" s="7" t="s">
        <v>1389</v>
      </c>
      <c r="F35" s="7">
        <v>2.51309</v>
      </c>
      <c r="G35" s="7">
        <v>100.0</v>
      </c>
      <c r="H35" s="7" t="s">
        <v>15</v>
      </c>
      <c r="I35" s="7" t="s">
        <v>1389</v>
      </c>
      <c r="J35" s="7">
        <v>2.10859</v>
      </c>
      <c r="K35" s="7">
        <v>100.0</v>
      </c>
      <c r="L35" s="7" t="s">
        <v>15</v>
      </c>
      <c r="M35" s="7" t="s">
        <v>1389</v>
      </c>
      <c r="O35" s="7">
        <v>100.0</v>
      </c>
      <c r="P35" s="7" t="s">
        <v>15</v>
      </c>
      <c r="Q35" s="7" t="s">
        <v>1388</v>
      </c>
      <c r="S35" s="7">
        <v>100.0</v>
      </c>
      <c r="T35" s="7" t="s">
        <v>15</v>
      </c>
    </row>
    <row r="36">
      <c r="A36" s="7" t="s">
        <v>1390</v>
      </c>
      <c r="B36" s="7">
        <v>0.0396</v>
      </c>
      <c r="C36" s="7">
        <v>100.0</v>
      </c>
      <c r="D36" s="7" t="s">
        <v>15</v>
      </c>
      <c r="E36" s="7" t="s">
        <v>1390</v>
      </c>
      <c r="F36" s="7">
        <v>9.83181</v>
      </c>
      <c r="G36" s="7">
        <v>100.0</v>
      </c>
      <c r="H36" s="7" t="s">
        <v>15</v>
      </c>
      <c r="I36" s="7" t="s">
        <v>1390</v>
      </c>
      <c r="J36" s="7">
        <v>2.77435</v>
      </c>
      <c r="K36" s="7">
        <v>100.0</v>
      </c>
      <c r="L36" s="7" t="s">
        <v>15</v>
      </c>
      <c r="M36" s="7" t="s">
        <v>1391</v>
      </c>
      <c r="O36" s="7">
        <v>100.0</v>
      </c>
      <c r="P36" s="7" t="s">
        <v>15</v>
      </c>
      <c r="Q36" s="7" t="s">
        <v>1390</v>
      </c>
      <c r="S36" s="7">
        <v>100.0</v>
      </c>
      <c r="T36" s="7" t="s">
        <v>15</v>
      </c>
    </row>
    <row r="37">
      <c r="A37" s="7" t="s">
        <v>1392</v>
      </c>
      <c r="B37" s="7">
        <v>0.05975</v>
      </c>
      <c r="C37" s="7">
        <v>100.0</v>
      </c>
      <c r="D37" s="7" t="s">
        <v>15</v>
      </c>
      <c r="E37" s="7" t="s">
        <v>1392</v>
      </c>
      <c r="F37" s="7">
        <v>2.06527</v>
      </c>
      <c r="G37" s="7">
        <v>100.0</v>
      </c>
      <c r="H37" s="7" t="s">
        <v>15</v>
      </c>
      <c r="I37" s="7" t="s">
        <v>1392</v>
      </c>
      <c r="J37" s="7">
        <v>2.39536</v>
      </c>
      <c r="K37" s="7">
        <v>100.0</v>
      </c>
      <c r="L37" s="7" t="s">
        <v>15</v>
      </c>
      <c r="M37" s="7" t="s">
        <v>1393</v>
      </c>
      <c r="O37" s="7">
        <v>100.0</v>
      </c>
      <c r="P37" s="7" t="s">
        <v>15</v>
      </c>
      <c r="Q37" s="7" t="s">
        <v>1392</v>
      </c>
      <c r="S37" s="7">
        <v>100.0</v>
      </c>
      <c r="T37" s="7" t="s">
        <v>15</v>
      </c>
    </row>
    <row r="38">
      <c r="A38" s="7" t="s">
        <v>1394</v>
      </c>
      <c r="B38" s="7">
        <v>0.03075</v>
      </c>
      <c r="C38" s="7">
        <v>93.33</v>
      </c>
      <c r="D38" s="7" t="s">
        <v>26</v>
      </c>
      <c r="E38" s="7" t="s">
        <v>1394</v>
      </c>
      <c r="F38" s="7">
        <v>1.84134</v>
      </c>
      <c r="G38" s="7">
        <v>93.33</v>
      </c>
      <c r="H38" s="7" t="s">
        <v>26</v>
      </c>
      <c r="I38" s="7" t="s">
        <v>1394</v>
      </c>
      <c r="J38" s="7">
        <v>1.71128</v>
      </c>
      <c r="K38" s="7">
        <v>93.33</v>
      </c>
      <c r="L38" s="7" t="s">
        <v>26</v>
      </c>
      <c r="M38" s="7" t="s">
        <v>1395</v>
      </c>
      <c r="O38" s="7">
        <v>93.33</v>
      </c>
      <c r="P38" s="7" t="s">
        <v>26</v>
      </c>
      <c r="Q38" s="7" t="s">
        <v>1394</v>
      </c>
      <c r="S38" s="7">
        <v>93.33</v>
      </c>
      <c r="T38" s="7" t="s">
        <v>26</v>
      </c>
    </row>
    <row r="39">
      <c r="A39" s="7" t="s">
        <v>1396</v>
      </c>
      <c r="B39" s="7">
        <v>0.04156</v>
      </c>
      <c r="C39" s="7">
        <v>92.68</v>
      </c>
      <c r="D39" s="7" t="s">
        <v>26</v>
      </c>
      <c r="E39" s="7" t="s">
        <v>1396</v>
      </c>
      <c r="F39" s="7">
        <v>1.72073</v>
      </c>
      <c r="G39" s="7">
        <v>92.68</v>
      </c>
      <c r="H39" s="7" t="s">
        <v>26</v>
      </c>
      <c r="I39" s="7" t="s">
        <v>1396</v>
      </c>
      <c r="J39" s="7">
        <v>3.40388</v>
      </c>
      <c r="K39" s="7">
        <v>92.68</v>
      </c>
      <c r="L39" s="7" t="s">
        <v>26</v>
      </c>
      <c r="M39" s="7" t="s">
        <v>1397</v>
      </c>
      <c r="O39" s="7">
        <v>92.68</v>
      </c>
      <c r="P39" s="7" t="s">
        <v>26</v>
      </c>
      <c r="Q39" s="7" t="s">
        <v>1396</v>
      </c>
      <c r="S39" s="7">
        <v>92.68</v>
      </c>
      <c r="T39" s="7" t="s">
        <v>26</v>
      </c>
    </row>
    <row r="40">
      <c r="A40" s="7" t="s">
        <v>1398</v>
      </c>
      <c r="B40" s="7">
        <v>0.03306</v>
      </c>
      <c r="C40" s="7">
        <v>93.88</v>
      </c>
      <c r="D40" s="7" t="s">
        <v>26</v>
      </c>
      <c r="E40" s="7" t="s">
        <v>1399</v>
      </c>
      <c r="F40" s="7">
        <v>1.69373</v>
      </c>
      <c r="G40" s="7">
        <v>93.88</v>
      </c>
      <c r="H40" s="7" t="s">
        <v>26</v>
      </c>
      <c r="I40" s="7" t="s">
        <v>1399</v>
      </c>
      <c r="J40" s="7">
        <v>2.62005</v>
      </c>
      <c r="K40" s="7">
        <v>93.88</v>
      </c>
      <c r="L40" s="7" t="s">
        <v>26</v>
      </c>
      <c r="M40" s="7" t="s">
        <v>1399</v>
      </c>
      <c r="O40" s="7">
        <v>93.88</v>
      </c>
      <c r="P40" s="7" t="s">
        <v>26</v>
      </c>
      <c r="Q40" s="7" t="s">
        <v>1398</v>
      </c>
      <c r="S40" s="7">
        <v>93.88</v>
      </c>
      <c r="T40" s="7" t="s">
        <v>26</v>
      </c>
    </row>
    <row r="41">
      <c r="A41" s="7" t="s">
        <v>1400</v>
      </c>
      <c r="B41" s="7">
        <v>0.06659</v>
      </c>
      <c r="C41" s="7">
        <v>93.62</v>
      </c>
      <c r="D41" s="7" t="s">
        <v>26</v>
      </c>
      <c r="E41" s="7" t="s">
        <v>1400</v>
      </c>
      <c r="F41" s="7">
        <v>1.89213</v>
      </c>
      <c r="G41" s="7">
        <v>93.62</v>
      </c>
      <c r="H41" s="7" t="s">
        <v>26</v>
      </c>
      <c r="I41" s="7" t="s">
        <v>1400</v>
      </c>
      <c r="J41" s="7">
        <v>2.17464</v>
      </c>
      <c r="K41" s="7">
        <v>93.62</v>
      </c>
      <c r="L41" s="7" t="s">
        <v>26</v>
      </c>
      <c r="M41" s="7" t="s">
        <v>1401</v>
      </c>
      <c r="O41" s="7">
        <v>93.62</v>
      </c>
      <c r="P41" s="7" t="s">
        <v>26</v>
      </c>
      <c r="Q41" s="7" t="s">
        <v>1400</v>
      </c>
      <c r="S41" s="7">
        <v>93.62</v>
      </c>
      <c r="T41" s="7" t="s">
        <v>26</v>
      </c>
    </row>
    <row r="42">
      <c r="A42" s="7" t="s">
        <v>1402</v>
      </c>
      <c r="B42" s="7">
        <v>0.05989</v>
      </c>
      <c r="C42" s="7">
        <v>100.0</v>
      </c>
      <c r="D42" s="7" t="s">
        <v>15</v>
      </c>
      <c r="E42" s="7" t="s">
        <v>1403</v>
      </c>
      <c r="F42" s="7">
        <v>1.98504</v>
      </c>
      <c r="G42" s="7">
        <v>100.0</v>
      </c>
      <c r="H42" s="7" t="s">
        <v>15</v>
      </c>
      <c r="I42" s="7" t="s">
        <v>1402</v>
      </c>
      <c r="J42" s="7">
        <v>1.75786</v>
      </c>
      <c r="K42" s="7">
        <v>100.0</v>
      </c>
      <c r="L42" s="7" t="s">
        <v>15</v>
      </c>
      <c r="M42" s="7" t="s">
        <v>1403</v>
      </c>
      <c r="O42" s="7">
        <v>100.0</v>
      </c>
      <c r="P42" s="7" t="s">
        <v>15</v>
      </c>
      <c r="Q42" s="7" t="s">
        <v>1402</v>
      </c>
      <c r="S42" s="7">
        <v>100.0</v>
      </c>
      <c r="T42" s="7" t="s">
        <v>15</v>
      </c>
    </row>
    <row r="43">
      <c r="A43" s="7" t="s">
        <v>1404</v>
      </c>
      <c r="B43" s="7">
        <v>0.05945</v>
      </c>
      <c r="C43" s="7">
        <v>100.0</v>
      </c>
      <c r="D43" s="7" t="s">
        <v>15</v>
      </c>
      <c r="E43" s="7" t="s">
        <v>1405</v>
      </c>
      <c r="F43" s="7">
        <v>1.78894</v>
      </c>
      <c r="G43" s="7">
        <v>100.0</v>
      </c>
      <c r="H43" s="7" t="s">
        <v>15</v>
      </c>
      <c r="I43" s="7" t="s">
        <v>1405</v>
      </c>
      <c r="J43" s="7">
        <v>2.19356</v>
      </c>
      <c r="K43" s="7">
        <v>100.0</v>
      </c>
      <c r="L43" s="7" t="s">
        <v>15</v>
      </c>
      <c r="M43" s="7" t="s">
        <v>1405</v>
      </c>
      <c r="O43" s="7">
        <v>100.0</v>
      </c>
      <c r="P43" s="7" t="s">
        <v>15</v>
      </c>
      <c r="Q43" s="7" t="s">
        <v>1404</v>
      </c>
      <c r="S43" s="7">
        <v>100.0</v>
      </c>
      <c r="T43" s="7" t="s">
        <v>15</v>
      </c>
    </row>
    <row r="44">
      <c r="A44" s="7" t="s">
        <v>1406</v>
      </c>
      <c r="B44" s="7">
        <v>0.06378</v>
      </c>
      <c r="C44" s="7">
        <v>100.0</v>
      </c>
      <c r="D44" s="7" t="s">
        <v>15</v>
      </c>
      <c r="E44" s="7" t="s">
        <v>1406</v>
      </c>
      <c r="F44" s="7">
        <v>1.71603</v>
      </c>
      <c r="G44" s="7">
        <v>100.0</v>
      </c>
      <c r="H44" s="7" t="s">
        <v>15</v>
      </c>
      <c r="I44" s="7" t="s">
        <v>1406</v>
      </c>
      <c r="J44" s="7">
        <v>2.3567</v>
      </c>
      <c r="K44" s="7">
        <v>100.0</v>
      </c>
      <c r="L44" s="7" t="s">
        <v>15</v>
      </c>
      <c r="M44" s="7" t="s">
        <v>1407</v>
      </c>
      <c r="O44" s="7">
        <v>100.0</v>
      </c>
      <c r="P44" s="7" t="s">
        <v>15</v>
      </c>
      <c r="Q44" s="7" t="s">
        <v>1406</v>
      </c>
      <c r="S44" s="7">
        <v>100.0</v>
      </c>
      <c r="T44" s="7" t="s">
        <v>15</v>
      </c>
    </row>
    <row r="45">
      <c r="A45" s="7" t="s">
        <v>1408</v>
      </c>
      <c r="B45" s="7">
        <v>0.05873</v>
      </c>
      <c r="C45" s="7">
        <v>100.0</v>
      </c>
      <c r="D45" s="7" t="s">
        <v>15</v>
      </c>
      <c r="E45" s="7" t="s">
        <v>1408</v>
      </c>
      <c r="F45" s="7">
        <v>1.83688</v>
      </c>
      <c r="G45" s="7">
        <v>100.0</v>
      </c>
      <c r="H45" s="7" t="s">
        <v>15</v>
      </c>
      <c r="I45" s="7" t="s">
        <v>1408</v>
      </c>
      <c r="J45" s="7">
        <v>2.35232</v>
      </c>
      <c r="K45" s="7">
        <v>100.0</v>
      </c>
      <c r="L45" s="7" t="s">
        <v>15</v>
      </c>
      <c r="M45" s="7" t="s">
        <v>1409</v>
      </c>
      <c r="O45" s="7">
        <v>100.0</v>
      </c>
      <c r="P45" s="7" t="s">
        <v>15</v>
      </c>
      <c r="Q45" s="7" t="s">
        <v>1408</v>
      </c>
      <c r="S45" s="7">
        <v>100.0</v>
      </c>
      <c r="T45" s="7" t="s">
        <v>15</v>
      </c>
    </row>
    <row r="46">
      <c r="A46" s="7" t="s">
        <v>1410</v>
      </c>
      <c r="B46" s="7">
        <v>0.03232</v>
      </c>
      <c r="C46" s="7">
        <v>100.0</v>
      </c>
      <c r="D46" s="7" t="s">
        <v>15</v>
      </c>
      <c r="E46" s="7" t="s">
        <v>1411</v>
      </c>
      <c r="F46" s="7">
        <v>1.68774</v>
      </c>
      <c r="G46" s="7">
        <v>100.0</v>
      </c>
      <c r="H46" s="7" t="s">
        <v>15</v>
      </c>
      <c r="I46" s="7" t="s">
        <v>1411</v>
      </c>
      <c r="J46" s="7">
        <v>2.21535</v>
      </c>
      <c r="K46" s="7">
        <v>100.0</v>
      </c>
      <c r="L46" s="7" t="s">
        <v>15</v>
      </c>
      <c r="M46" s="7" t="s">
        <v>1411</v>
      </c>
      <c r="O46" s="7">
        <v>100.0</v>
      </c>
      <c r="P46" s="7" t="s">
        <v>15</v>
      </c>
      <c r="Q46" s="7" t="s">
        <v>1410</v>
      </c>
      <c r="S46" s="7">
        <v>100.0</v>
      </c>
      <c r="T46" s="7" t="s">
        <v>15</v>
      </c>
    </row>
    <row r="47">
      <c r="A47" s="7" t="s">
        <v>1412</v>
      </c>
      <c r="B47" s="7">
        <v>0.07786</v>
      </c>
      <c r="C47" s="7">
        <v>100.0</v>
      </c>
      <c r="D47" s="7" t="s">
        <v>15</v>
      </c>
      <c r="E47" s="7" t="s">
        <v>1413</v>
      </c>
      <c r="F47" s="7">
        <v>1.80662</v>
      </c>
      <c r="G47" s="7">
        <v>100.0</v>
      </c>
      <c r="H47" s="7" t="s">
        <v>15</v>
      </c>
      <c r="I47" s="7" t="s">
        <v>1412</v>
      </c>
      <c r="J47" s="7">
        <v>2.04982</v>
      </c>
      <c r="K47" s="7">
        <v>100.0</v>
      </c>
      <c r="L47" s="7" t="s">
        <v>15</v>
      </c>
      <c r="M47" s="7" t="s">
        <v>1413</v>
      </c>
      <c r="O47" s="7">
        <v>100.0</v>
      </c>
      <c r="P47" s="7" t="s">
        <v>15</v>
      </c>
      <c r="Q47" s="7" t="s">
        <v>1412</v>
      </c>
      <c r="S47" s="7">
        <v>100.0</v>
      </c>
      <c r="T47" s="7" t="s">
        <v>15</v>
      </c>
    </row>
    <row r="48">
      <c r="A48" s="7" t="s">
        <v>1414</v>
      </c>
      <c r="B48" s="7">
        <v>0.08266</v>
      </c>
      <c r="C48" s="7">
        <v>100.0</v>
      </c>
      <c r="D48" s="7" t="s">
        <v>15</v>
      </c>
      <c r="E48" s="7" t="s">
        <v>1415</v>
      </c>
      <c r="F48" s="7">
        <v>1.83884</v>
      </c>
      <c r="G48" s="7">
        <v>100.0</v>
      </c>
      <c r="H48" s="7" t="s">
        <v>15</v>
      </c>
      <c r="I48" s="7" t="s">
        <v>1415</v>
      </c>
      <c r="J48" s="7">
        <v>2.43338</v>
      </c>
      <c r="K48" s="7">
        <v>100.0</v>
      </c>
      <c r="L48" s="7" t="s">
        <v>15</v>
      </c>
      <c r="M48" s="7" t="s">
        <v>1415</v>
      </c>
      <c r="O48" s="7">
        <v>100.0</v>
      </c>
      <c r="P48" s="7" t="s">
        <v>15</v>
      </c>
      <c r="Q48" s="7" t="s">
        <v>1414</v>
      </c>
      <c r="S48" s="7">
        <v>100.0</v>
      </c>
      <c r="T48" s="7" t="s">
        <v>15</v>
      </c>
    </row>
    <row r="49">
      <c r="A49" s="7" t="s">
        <v>1416</v>
      </c>
      <c r="B49" s="7">
        <v>0.06313</v>
      </c>
      <c r="C49" s="7">
        <v>100.0</v>
      </c>
      <c r="D49" s="7" t="s">
        <v>15</v>
      </c>
      <c r="E49" s="7" t="s">
        <v>1417</v>
      </c>
      <c r="F49" s="7">
        <v>1.74656</v>
      </c>
      <c r="G49" s="7">
        <v>100.0</v>
      </c>
      <c r="H49" s="7" t="s">
        <v>15</v>
      </c>
      <c r="I49" s="7" t="s">
        <v>1416</v>
      </c>
      <c r="J49" s="7">
        <v>2.29685</v>
      </c>
      <c r="K49" s="7">
        <v>100.0</v>
      </c>
      <c r="L49" s="7" t="s">
        <v>15</v>
      </c>
      <c r="M49" s="7" t="s">
        <v>1417</v>
      </c>
      <c r="O49" s="7">
        <v>100.0</v>
      </c>
      <c r="P49" s="7" t="s">
        <v>15</v>
      </c>
      <c r="Q49" s="7" t="s">
        <v>1416</v>
      </c>
      <c r="S49" s="7">
        <v>100.0</v>
      </c>
      <c r="T49" s="7" t="s">
        <v>15</v>
      </c>
    </row>
    <row r="50">
      <c r="A50" s="7" t="s">
        <v>1418</v>
      </c>
      <c r="B50" s="7">
        <v>0.05946</v>
      </c>
      <c r="C50" s="7">
        <v>100.0</v>
      </c>
      <c r="D50" s="7" t="s">
        <v>15</v>
      </c>
      <c r="E50" s="7" t="s">
        <v>1418</v>
      </c>
      <c r="F50" s="7">
        <v>1.57449</v>
      </c>
      <c r="G50" s="7">
        <v>100.0</v>
      </c>
      <c r="H50" s="7" t="s">
        <v>15</v>
      </c>
      <c r="I50" s="7" t="s">
        <v>1418</v>
      </c>
      <c r="J50" s="7">
        <v>1.85864</v>
      </c>
      <c r="K50" s="7">
        <v>100.0</v>
      </c>
      <c r="L50" s="7" t="s">
        <v>15</v>
      </c>
      <c r="M50" s="7" t="s">
        <v>1419</v>
      </c>
      <c r="O50" s="7">
        <v>100.0</v>
      </c>
      <c r="P50" s="7" t="s">
        <v>15</v>
      </c>
      <c r="Q50" s="7" t="s">
        <v>1418</v>
      </c>
      <c r="S50" s="7">
        <v>100.0</v>
      </c>
      <c r="T50" s="7" t="s">
        <v>15</v>
      </c>
    </row>
    <row r="51">
      <c r="A51" s="7" t="s">
        <v>1420</v>
      </c>
      <c r="B51" s="7">
        <v>0.0595</v>
      </c>
      <c r="C51" s="7">
        <v>100.0</v>
      </c>
      <c r="D51" s="7" t="s">
        <v>15</v>
      </c>
      <c r="E51" s="7" t="s">
        <v>1421</v>
      </c>
      <c r="F51" s="7">
        <v>1.80344</v>
      </c>
      <c r="G51" s="7">
        <v>100.0</v>
      </c>
      <c r="H51" s="7" t="s">
        <v>15</v>
      </c>
      <c r="I51" s="7" t="s">
        <v>1421</v>
      </c>
      <c r="J51" s="7">
        <v>1.83231</v>
      </c>
      <c r="K51" s="7">
        <v>100.0</v>
      </c>
      <c r="L51" s="7" t="s">
        <v>15</v>
      </c>
      <c r="M51" s="7" t="s">
        <v>1421</v>
      </c>
      <c r="O51" s="7">
        <v>100.0</v>
      </c>
      <c r="P51" s="7" t="s">
        <v>15</v>
      </c>
      <c r="Q51" s="7" t="s">
        <v>1420</v>
      </c>
      <c r="S51" s="7">
        <v>100.0</v>
      </c>
      <c r="T51" s="7" t="s">
        <v>15</v>
      </c>
    </row>
    <row r="52">
      <c r="A52" s="7" t="s">
        <v>1422</v>
      </c>
      <c r="B52" s="7">
        <v>0.03911</v>
      </c>
      <c r="C52" s="7">
        <v>100.0</v>
      </c>
      <c r="D52" s="7" t="s">
        <v>15</v>
      </c>
      <c r="E52" s="7" t="s">
        <v>1423</v>
      </c>
      <c r="F52" s="7">
        <v>1.82065</v>
      </c>
      <c r="G52" s="7">
        <v>100.0</v>
      </c>
      <c r="H52" s="7" t="s">
        <v>15</v>
      </c>
      <c r="I52" s="7" t="s">
        <v>1423</v>
      </c>
      <c r="J52" s="7">
        <v>1.94975</v>
      </c>
      <c r="K52" s="7">
        <v>100.0</v>
      </c>
      <c r="L52" s="7" t="s">
        <v>15</v>
      </c>
      <c r="M52" s="7" t="s">
        <v>1423</v>
      </c>
      <c r="O52" s="7">
        <v>100.0</v>
      </c>
      <c r="P52" s="7" t="s">
        <v>15</v>
      </c>
      <c r="Q52" s="7" t="s">
        <v>1422</v>
      </c>
      <c r="S52" s="7">
        <v>100.0</v>
      </c>
      <c r="T52" s="7" t="s">
        <v>15</v>
      </c>
    </row>
    <row r="53">
      <c r="A53" s="7" t="s">
        <v>1424</v>
      </c>
      <c r="B53" s="7">
        <v>0.06259</v>
      </c>
      <c r="C53" s="7">
        <v>100.0</v>
      </c>
      <c r="D53" s="7" t="s">
        <v>15</v>
      </c>
      <c r="E53" s="7" t="s">
        <v>1425</v>
      </c>
      <c r="F53" s="7">
        <v>1.62228</v>
      </c>
      <c r="G53" s="7">
        <v>100.0</v>
      </c>
      <c r="H53" s="7" t="s">
        <v>15</v>
      </c>
      <c r="I53" s="7" t="s">
        <v>1425</v>
      </c>
      <c r="J53" s="7">
        <v>2.00194</v>
      </c>
      <c r="K53" s="7">
        <v>100.0</v>
      </c>
      <c r="L53" s="7" t="s">
        <v>15</v>
      </c>
      <c r="M53" s="7" t="s">
        <v>1425</v>
      </c>
      <c r="O53" s="7">
        <v>100.0</v>
      </c>
      <c r="P53" s="7" t="s">
        <v>15</v>
      </c>
      <c r="Q53" s="7" t="s">
        <v>1424</v>
      </c>
      <c r="S53" s="7">
        <v>100.0</v>
      </c>
      <c r="T53" s="7" t="s">
        <v>15</v>
      </c>
    </row>
    <row r="54">
      <c r="A54" s="7" t="s">
        <v>1426</v>
      </c>
      <c r="B54" s="7">
        <v>0.06398</v>
      </c>
      <c r="C54" s="7">
        <v>100.0</v>
      </c>
      <c r="D54" s="7" t="s">
        <v>15</v>
      </c>
      <c r="E54" s="7" t="s">
        <v>1427</v>
      </c>
      <c r="F54" s="7">
        <v>1.92934</v>
      </c>
      <c r="G54" s="7">
        <v>100.0</v>
      </c>
      <c r="H54" s="7" t="s">
        <v>15</v>
      </c>
      <c r="I54" s="7" t="s">
        <v>1426</v>
      </c>
      <c r="J54" s="7">
        <v>1.95304</v>
      </c>
      <c r="K54" s="7">
        <v>100.0</v>
      </c>
      <c r="L54" s="7" t="s">
        <v>15</v>
      </c>
      <c r="M54" s="7" t="s">
        <v>1427</v>
      </c>
      <c r="O54" s="7">
        <v>100.0</v>
      </c>
      <c r="P54" s="7" t="s">
        <v>15</v>
      </c>
      <c r="Q54" s="7" t="s">
        <v>1426</v>
      </c>
      <c r="S54" s="7">
        <v>100.0</v>
      </c>
      <c r="T54" s="7" t="s">
        <v>15</v>
      </c>
    </row>
    <row r="55">
      <c r="A55" s="7" t="s">
        <v>1428</v>
      </c>
      <c r="B55" s="7">
        <v>0.03592</v>
      </c>
      <c r="C55" s="7">
        <v>100.0</v>
      </c>
      <c r="D55" s="7" t="s">
        <v>15</v>
      </c>
      <c r="E55" s="7" t="s">
        <v>1429</v>
      </c>
      <c r="F55" s="7">
        <v>2.00868</v>
      </c>
      <c r="G55" s="7">
        <v>100.0</v>
      </c>
      <c r="H55" s="7" t="s">
        <v>15</v>
      </c>
      <c r="I55" s="7" t="s">
        <v>1429</v>
      </c>
      <c r="J55" s="7">
        <v>2.52708</v>
      </c>
      <c r="K55" s="7">
        <v>100.0</v>
      </c>
      <c r="L55" s="7" t="s">
        <v>15</v>
      </c>
      <c r="M55" s="7" t="s">
        <v>1429</v>
      </c>
      <c r="O55" s="7">
        <v>100.0</v>
      </c>
      <c r="P55" s="7" t="s">
        <v>15</v>
      </c>
      <c r="Q55" s="7" t="s">
        <v>1428</v>
      </c>
      <c r="S55" s="7">
        <v>100.0</v>
      </c>
      <c r="T55" s="7" t="s">
        <v>15</v>
      </c>
    </row>
    <row r="56">
      <c r="A56" s="7" t="s">
        <v>1430</v>
      </c>
      <c r="B56" s="7">
        <v>0.06952</v>
      </c>
      <c r="C56" s="7">
        <v>100.0</v>
      </c>
      <c r="D56" s="7" t="s">
        <v>15</v>
      </c>
      <c r="E56" s="7" t="s">
        <v>1431</v>
      </c>
      <c r="F56" s="7">
        <v>1.97356</v>
      </c>
      <c r="G56" s="7">
        <v>100.0</v>
      </c>
      <c r="H56" s="7" t="s">
        <v>15</v>
      </c>
      <c r="I56" s="7" t="s">
        <v>1430</v>
      </c>
      <c r="J56" s="7">
        <v>1.89005</v>
      </c>
      <c r="K56" s="7">
        <v>100.0</v>
      </c>
      <c r="L56" s="7" t="s">
        <v>15</v>
      </c>
      <c r="M56" s="7" t="s">
        <v>1431</v>
      </c>
      <c r="O56" s="7">
        <v>100.0</v>
      </c>
      <c r="P56" s="7" t="s">
        <v>15</v>
      </c>
      <c r="Q56" s="7" t="s">
        <v>1430</v>
      </c>
      <c r="S56" s="7">
        <v>100.0</v>
      </c>
      <c r="T56" s="7" t="s">
        <v>15</v>
      </c>
    </row>
    <row r="57">
      <c r="A57" s="7" t="s">
        <v>1432</v>
      </c>
      <c r="B57" s="7">
        <v>0.0563</v>
      </c>
      <c r="C57" s="7">
        <v>100.0</v>
      </c>
      <c r="D57" s="7" t="s">
        <v>15</v>
      </c>
      <c r="E57" s="7" t="s">
        <v>1433</v>
      </c>
      <c r="F57" s="7">
        <v>1.71408</v>
      </c>
      <c r="G57" s="7">
        <v>100.0</v>
      </c>
      <c r="H57" s="7" t="s">
        <v>15</v>
      </c>
      <c r="I57" s="7" t="s">
        <v>1433</v>
      </c>
      <c r="J57" s="7">
        <v>2.12614</v>
      </c>
      <c r="K57" s="7">
        <v>100.0</v>
      </c>
      <c r="L57" s="7" t="s">
        <v>15</v>
      </c>
      <c r="M57" s="7" t="s">
        <v>1433</v>
      </c>
      <c r="O57" s="7">
        <v>100.0</v>
      </c>
      <c r="P57" s="7" t="s">
        <v>15</v>
      </c>
      <c r="Q57" s="7" t="s">
        <v>1432</v>
      </c>
      <c r="S57" s="7">
        <v>100.0</v>
      </c>
      <c r="T57" s="7" t="s">
        <v>15</v>
      </c>
    </row>
    <row r="58">
      <c r="A58" s="7" t="s">
        <v>1434</v>
      </c>
      <c r="B58" s="7">
        <v>0.06027</v>
      </c>
      <c r="C58" s="7">
        <v>100.0</v>
      </c>
      <c r="D58" s="7" t="s">
        <v>15</v>
      </c>
      <c r="E58" s="7" t="s">
        <v>1435</v>
      </c>
      <c r="F58" s="7">
        <v>3.00541</v>
      </c>
      <c r="G58" s="7">
        <v>100.0</v>
      </c>
      <c r="H58" s="7" t="s">
        <v>15</v>
      </c>
      <c r="I58" s="7" t="s">
        <v>1434</v>
      </c>
      <c r="J58" s="7">
        <v>1.87621</v>
      </c>
      <c r="K58" s="7">
        <v>100.0</v>
      </c>
      <c r="L58" s="7" t="s">
        <v>15</v>
      </c>
      <c r="M58" s="7" t="s">
        <v>1435</v>
      </c>
      <c r="O58" s="7">
        <v>100.0</v>
      </c>
      <c r="P58" s="7" t="s">
        <v>15</v>
      </c>
      <c r="Q58" s="7" t="s">
        <v>1434</v>
      </c>
      <c r="S58" s="7">
        <v>100.0</v>
      </c>
      <c r="T58" s="7" t="s">
        <v>15</v>
      </c>
    </row>
    <row r="59">
      <c r="A59" s="7" t="s">
        <v>1436</v>
      </c>
      <c r="B59" s="7">
        <v>0.0578</v>
      </c>
      <c r="C59" s="7">
        <v>100.0</v>
      </c>
      <c r="D59" s="7" t="s">
        <v>15</v>
      </c>
      <c r="E59" s="7" t="s">
        <v>1436</v>
      </c>
      <c r="F59" s="7">
        <v>3.15578</v>
      </c>
      <c r="G59" s="7">
        <v>100.0</v>
      </c>
      <c r="H59" s="7" t="s">
        <v>15</v>
      </c>
      <c r="I59" s="7" t="s">
        <v>1436</v>
      </c>
      <c r="J59" s="7">
        <v>2.12371</v>
      </c>
      <c r="K59" s="7">
        <v>100.0</v>
      </c>
      <c r="L59" s="7" t="s">
        <v>15</v>
      </c>
      <c r="M59" s="7" t="s">
        <v>1437</v>
      </c>
      <c r="O59" s="7">
        <v>100.0</v>
      </c>
      <c r="P59" s="7" t="s">
        <v>15</v>
      </c>
      <c r="Q59" s="7" t="s">
        <v>1436</v>
      </c>
      <c r="S59" s="7">
        <v>100.0</v>
      </c>
      <c r="T59" s="7" t="s">
        <v>15</v>
      </c>
    </row>
    <row r="60">
      <c r="A60" s="7" t="s">
        <v>1438</v>
      </c>
      <c r="B60" s="7">
        <v>0.06287</v>
      </c>
      <c r="C60" s="7">
        <v>100.0</v>
      </c>
      <c r="D60" s="7" t="s">
        <v>15</v>
      </c>
      <c r="E60" s="7" t="s">
        <v>1438</v>
      </c>
      <c r="F60" s="7">
        <v>5.45895</v>
      </c>
      <c r="G60" s="7">
        <v>100.0</v>
      </c>
      <c r="H60" s="7" t="s">
        <v>15</v>
      </c>
      <c r="I60" s="7" t="s">
        <v>1438</v>
      </c>
      <c r="J60" s="7">
        <v>1.98381</v>
      </c>
      <c r="K60" s="7">
        <v>100.0</v>
      </c>
      <c r="L60" s="7" t="s">
        <v>15</v>
      </c>
      <c r="M60" s="7" t="s">
        <v>1439</v>
      </c>
      <c r="O60" s="7">
        <v>100.0</v>
      </c>
      <c r="P60" s="7" t="s">
        <v>15</v>
      </c>
      <c r="Q60" s="7" t="s">
        <v>1438</v>
      </c>
      <c r="S60" s="7">
        <v>100.0</v>
      </c>
      <c r="T60" s="7" t="s">
        <v>15</v>
      </c>
    </row>
    <row r="61">
      <c r="A61" s="7" t="s">
        <v>1440</v>
      </c>
      <c r="B61" s="7">
        <v>0.09754</v>
      </c>
      <c r="C61" s="7">
        <v>100.0</v>
      </c>
      <c r="D61" s="7" t="s">
        <v>15</v>
      </c>
      <c r="E61" s="7" t="s">
        <v>1441</v>
      </c>
      <c r="F61" s="7">
        <v>2.66275</v>
      </c>
      <c r="G61" s="7">
        <v>100.0</v>
      </c>
      <c r="H61" s="7" t="s">
        <v>15</v>
      </c>
      <c r="I61" s="7" t="s">
        <v>1440</v>
      </c>
      <c r="J61" s="7">
        <v>1.83611</v>
      </c>
      <c r="K61" s="7">
        <v>100.0</v>
      </c>
      <c r="L61" s="7" t="s">
        <v>15</v>
      </c>
      <c r="M61" s="7" t="s">
        <v>1441</v>
      </c>
      <c r="O61" s="7">
        <v>100.0</v>
      </c>
      <c r="P61" s="7" t="s">
        <v>15</v>
      </c>
      <c r="Q61" s="7" t="s">
        <v>1440</v>
      </c>
      <c r="S61" s="7">
        <v>100.0</v>
      </c>
      <c r="T61" s="7" t="s">
        <v>15</v>
      </c>
    </row>
    <row r="62">
      <c r="A62" s="7" t="s">
        <v>1442</v>
      </c>
      <c r="B62" s="7">
        <v>0.05766</v>
      </c>
      <c r="C62" s="7">
        <v>100.0</v>
      </c>
      <c r="D62" s="7" t="s">
        <v>15</v>
      </c>
      <c r="E62" s="7" t="s">
        <v>1443</v>
      </c>
      <c r="F62" s="7">
        <v>2.48649</v>
      </c>
      <c r="G62" s="7">
        <v>100.0</v>
      </c>
      <c r="H62" s="7" t="s">
        <v>15</v>
      </c>
      <c r="I62" s="7" t="s">
        <v>1442</v>
      </c>
      <c r="J62" s="7">
        <v>1.7406</v>
      </c>
      <c r="K62" s="7">
        <v>100.0</v>
      </c>
      <c r="L62" s="7" t="s">
        <v>15</v>
      </c>
      <c r="M62" s="7" t="s">
        <v>1443</v>
      </c>
      <c r="O62" s="7">
        <v>100.0</v>
      </c>
      <c r="P62" s="7" t="s">
        <v>15</v>
      </c>
      <c r="Q62" s="7" t="s">
        <v>1442</v>
      </c>
      <c r="S62" s="7">
        <v>100.0</v>
      </c>
      <c r="T62" s="7" t="s">
        <v>15</v>
      </c>
    </row>
    <row r="63">
      <c r="A63" s="7" t="s">
        <v>1444</v>
      </c>
      <c r="B63" s="7">
        <v>0.06412</v>
      </c>
      <c r="C63" s="7">
        <v>100.0</v>
      </c>
      <c r="D63" s="7" t="s">
        <v>15</v>
      </c>
      <c r="E63" s="7" t="s">
        <v>1445</v>
      </c>
      <c r="F63" s="7">
        <v>2.22498</v>
      </c>
      <c r="G63" s="7">
        <v>100.0</v>
      </c>
      <c r="H63" s="7" t="s">
        <v>15</v>
      </c>
      <c r="I63" s="7" t="s">
        <v>1445</v>
      </c>
      <c r="J63" s="7">
        <v>1.89993</v>
      </c>
      <c r="K63" s="7">
        <v>100.0</v>
      </c>
      <c r="L63" s="7" t="s">
        <v>15</v>
      </c>
      <c r="M63" s="7" t="s">
        <v>1445</v>
      </c>
      <c r="O63" s="7">
        <v>100.0</v>
      </c>
      <c r="P63" s="7" t="s">
        <v>15</v>
      </c>
      <c r="Q63" s="7" t="s">
        <v>1444</v>
      </c>
      <c r="S63" s="7">
        <v>100.0</v>
      </c>
      <c r="T63" s="7" t="s">
        <v>15</v>
      </c>
    </row>
    <row r="64">
      <c r="A64" s="7" t="s">
        <v>1446</v>
      </c>
      <c r="B64" s="7">
        <v>0.06709</v>
      </c>
      <c r="C64" s="7">
        <v>100.0</v>
      </c>
      <c r="D64" s="7" t="s">
        <v>15</v>
      </c>
      <c r="E64" s="7" t="s">
        <v>1447</v>
      </c>
      <c r="F64" s="7">
        <v>1.96329</v>
      </c>
      <c r="G64" s="7">
        <v>100.0</v>
      </c>
      <c r="H64" s="7" t="s">
        <v>15</v>
      </c>
      <c r="I64" s="7" t="s">
        <v>1447</v>
      </c>
      <c r="J64" s="7">
        <v>2.2595</v>
      </c>
      <c r="K64" s="7">
        <v>100.0</v>
      </c>
      <c r="L64" s="7" t="s">
        <v>15</v>
      </c>
      <c r="M64" s="7" t="s">
        <v>1447</v>
      </c>
      <c r="O64" s="7">
        <v>100.0</v>
      </c>
      <c r="P64" s="7" t="s">
        <v>15</v>
      </c>
      <c r="Q64" s="7" t="s">
        <v>1446</v>
      </c>
      <c r="S64" s="7">
        <v>100.0</v>
      </c>
      <c r="T64" s="7" t="s">
        <v>15</v>
      </c>
    </row>
    <row r="65">
      <c r="A65" s="7" t="s">
        <v>1448</v>
      </c>
      <c r="B65" s="7">
        <v>0.06713</v>
      </c>
      <c r="C65" s="7">
        <v>100.0</v>
      </c>
      <c r="D65" s="7" t="s">
        <v>15</v>
      </c>
      <c r="E65" s="7" t="s">
        <v>1449</v>
      </c>
      <c r="F65" s="7">
        <v>2.01827</v>
      </c>
      <c r="G65" s="7">
        <v>100.0</v>
      </c>
      <c r="H65" s="7" t="s">
        <v>15</v>
      </c>
      <c r="I65" s="7" t="s">
        <v>1449</v>
      </c>
      <c r="J65" s="7">
        <v>2.1786</v>
      </c>
      <c r="K65" s="7">
        <v>100.0</v>
      </c>
      <c r="L65" s="7" t="s">
        <v>15</v>
      </c>
      <c r="M65" s="7" t="s">
        <v>1449</v>
      </c>
      <c r="O65" s="7">
        <v>100.0</v>
      </c>
      <c r="P65" s="7" t="s">
        <v>15</v>
      </c>
      <c r="Q65" s="7" t="s">
        <v>1448</v>
      </c>
      <c r="S65" s="7">
        <v>100.0</v>
      </c>
      <c r="T65" s="7" t="s">
        <v>15</v>
      </c>
    </row>
    <row r="66">
      <c r="A66" s="7" t="s">
        <v>1450</v>
      </c>
      <c r="B66" s="7">
        <v>0.034</v>
      </c>
      <c r="C66" s="7">
        <v>100.0</v>
      </c>
      <c r="D66" s="7" t="s">
        <v>15</v>
      </c>
      <c r="E66" s="7" t="s">
        <v>1451</v>
      </c>
      <c r="F66" s="7">
        <v>1.95688</v>
      </c>
      <c r="G66" s="7">
        <v>100.0</v>
      </c>
      <c r="H66" s="7" t="s">
        <v>15</v>
      </c>
      <c r="I66" s="7" t="s">
        <v>1451</v>
      </c>
      <c r="J66" s="7">
        <v>1.74869</v>
      </c>
      <c r="K66" s="7">
        <v>100.0</v>
      </c>
      <c r="L66" s="7" t="s">
        <v>15</v>
      </c>
      <c r="M66" s="7" t="s">
        <v>1451</v>
      </c>
      <c r="O66" s="7">
        <v>100.0</v>
      </c>
      <c r="P66" s="7" t="s">
        <v>15</v>
      </c>
      <c r="Q66" s="7" t="s">
        <v>1450</v>
      </c>
      <c r="S66" s="7">
        <v>100.0</v>
      </c>
      <c r="T66" s="7" t="s">
        <v>15</v>
      </c>
    </row>
    <row r="67">
      <c r="A67" s="7" t="s">
        <v>1452</v>
      </c>
      <c r="B67" s="7">
        <v>0.05482</v>
      </c>
      <c r="C67" s="7">
        <v>100.0</v>
      </c>
      <c r="D67" s="7" t="s">
        <v>15</v>
      </c>
      <c r="E67" s="7" t="s">
        <v>1453</v>
      </c>
      <c r="F67" s="7">
        <v>2.89071</v>
      </c>
      <c r="G67" s="7">
        <v>100.0</v>
      </c>
      <c r="H67" s="7" t="s">
        <v>15</v>
      </c>
      <c r="I67" s="7" t="s">
        <v>1453</v>
      </c>
      <c r="J67" s="7">
        <v>1.93944</v>
      </c>
      <c r="K67" s="7">
        <v>100.0</v>
      </c>
      <c r="L67" s="7" t="s">
        <v>15</v>
      </c>
      <c r="M67" s="7" t="s">
        <v>1453</v>
      </c>
      <c r="O67" s="7">
        <v>100.0</v>
      </c>
      <c r="P67" s="7" t="s">
        <v>15</v>
      </c>
      <c r="Q67" s="7" t="s">
        <v>1452</v>
      </c>
      <c r="S67" s="7">
        <v>100.0</v>
      </c>
      <c r="T67" s="7" t="s">
        <v>15</v>
      </c>
    </row>
    <row r="68">
      <c r="A68" s="7" t="s">
        <v>1454</v>
      </c>
      <c r="B68" s="7">
        <v>0.07392</v>
      </c>
      <c r="C68" s="7">
        <v>100.0</v>
      </c>
      <c r="D68" s="7" t="s">
        <v>15</v>
      </c>
      <c r="E68" s="7" t="s">
        <v>1455</v>
      </c>
      <c r="F68" s="7">
        <v>2.3827</v>
      </c>
      <c r="G68" s="7">
        <v>100.0</v>
      </c>
      <c r="H68" s="7" t="s">
        <v>15</v>
      </c>
      <c r="I68" s="7" t="s">
        <v>1455</v>
      </c>
      <c r="J68" s="7">
        <v>2.6395</v>
      </c>
      <c r="K68" s="7">
        <v>100.0</v>
      </c>
      <c r="L68" s="7" t="s">
        <v>15</v>
      </c>
      <c r="M68" s="7" t="s">
        <v>1455</v>
      </c>
      <c r="O68" s="7">
        <v>100.0</v>
      </c>
      <c r="P68" s="7" t="s">
        <v>15</v>
      </c>
      <c r="Q68" s="7" t="s">
        <v>1454</v>
      </c>
      <c r="S68" s="7">
        <v>100.0</v>
      </c>
      <c r="T68" s="7" t="s">
        <v>15</v>
      </c>
    </row>
    <row r="69">
      <c r="A69" s="7" t="s">
        <v>1456</v>
      </c>
      <c r="B69" s="7">
        <v>0.03717</v>
      </c>
      <c r="C69" s="7">
        <v>100.0</v>
      </c>
      <c r="D69" s="7" t="s">
        <v>15</v>
      </c>
      <c r="E69" s="7" t="s">
        <v>1457</v>
      </c>
      <c r="F69" s="7">
        <v>2.14079</v>
      </c>
      <c r="G69" s="7">
        <v>100.0</v>
      </c>
      <c r="H69" s="7" t="s">
        <v>15</v>
      </c>
      <c r="I69" s="7" t="s">
        <v>1457</v>
      </c>
      <c r="J69" s="7">
        <v>1.8534</v>
      </c>
      <c r="K69" s="7">
        <v>100.0</v>
      </c>
      <c r="L69" s="7" t="s">
        <v>15</v>
      </c>
      <c r="M69" s="7" t="s">
        <v>1457</v>
      </c>
      <c r="O69" s="7">
        <v>100.0</v>
      </c>
      <c r="P69" s="7" t="s">
        <v>15</v>
      </c>
      <c r="Q69" s="7" t="s">
        <v>1456</v>
      </c>
      <c r="S69" s="7">
        <v>100.0</v>
      </c>
      <c r="T69" s="7" t="s">
        <v>15</v>
      </c>
    </row>
    <row r="70">
      <c r="A70" s="7" t="s">
        <v>1458</v>
      </c>
      <c r="B70" s="7">
        <v>0.03655</v>
      </c>
      <c r="C70" s="7">
        <v>100.0</v>
      </c>
      <c r="D70" s="7" t="s">
        <v>15</v>
      </c>
      <c r="E70" s="7" t="s">
        <v>1459</v>
      </c>
      <c r="F70" s="7">
        <v>2.41615</v>
      </c>
      <c r="G70" s="7">
        <v>100.0</v>
      </c>
      <c r="H70" s="7" t="s">
        <v>15</v>
      </c>
      <c r="I70" s="7" t="s">
        <v>1459</v>
      </c>
      <c r="J70" s="7">
        <v>2.18443</v>
      </c>
      <c r="K70" s="7">
        <v>100.0</v>
      </c>
      <c r="L70" s="7" t="s">
        <v>15</v>
      </c>
      <c r="M70" s="7" t="s">
        <v>1459</v>
      </c>
      <c r="O70" s="7">
        <v>100.0</v>
      </c>
      <c r="P70" s="7" t="s">
        <v>15</v>
      </c>
      <c r="Q70" s="7" t="s">
        <v>1458</v>
      </c>
      <c r="S70" s="7">
        <v>100.0</v>
      </c>
      <c r="T70" s="7" t="s">
        <v>15</v>
      </c>
    </row>
    <row r="71">
      <c r="A71" s="7" t="s">
        <v>1460</v>
      </c>
      <c r="B71" s="7">
        <v>0.07335</v>
      </c>
      <c r="C71" s="7">
        <v>100.0</v>
      </c>
      <c r="D71" s="7" t="s">
        <v>15</v>
      </c>
      <c r="E71" s="7" t="s">
        <v>1461</v>
      </c>
      <c r="F71" s="7">
        <v>3.43425</v>
      </c>
      <c r="G71" s="7">
        <v>100.0</v>
      </c>
      <c r="H71" s="7" t="s">
        <v>15</v>
      </c>
      <c r="I71" s="7" t="s">
        <v>1461</v>
      </c>
      <c r="J71" s="7">
        <v>1.91056</v>
      </c>
      <c r="K71" s="7">
        <v>100.0</v>
      </c>
      <c r="L71" s="7" t="s">
        <v>15</v>
      </c>
      <c r="M71" s="7" t="s">
        <v>1461</v>
      </c>
      <c r="O71" s="7">
        <v>100.0</v>
      </c>
      <c r="P71" s="7" t="s">
        <v>15</v>
      </c>
      <c r="Q71" s="7" t="s">
        <v>1460</v>
      </c>
      <c r="S71" s="7">
        <v>100.0</v>
      </c>
      <c r="T71" s="7" t="s">
        <v>15</v>
      </c>
    </row>
    <row r="72">
      <c r="A72" s="7" t="s">
        <v>1462</v>
      </c>
      <c r="B72" s="7">
        <v>0.06312</v>
      </c>
      <c r="C72" s="7">
        <v>100.0</v>
      </c>
      <c r="D72" s="7" t="s">
        <v>15</v>
      </c>
      <c r="E72" s="7" t="s">
        <v>1463</v>
      </c>
      <c r="F72" s="7">
        <v>2.20196</v>
      </c>
      <c r="G72" s="7">
        <v>100.0</v>
      </c>
      <c r="H72" s="7" t="s">
        <v>15</v>
      </c>
      <c r="I72" s="7" t="s">
        <v>1463</v>
      </c>
      <c r="J72" s="7">
        <v>2.77902</v>
      </c>
      <c r="K72" s="7">
        <v>100.0</v>
      </c>
      <c r="L72" s="7" t="s">
        <v>15</v>
      </c>
      <c r="M72" s="7" t="s">
        <v>1463</v>
      </c>
      <c r="O72" s="7">
        <v>100.0</v>
      </c>
      <c r="P72" s="7" t="s">
        <v>15</v>
      </c>
      <c r="Q72" s="7" t="s">
        <v>1462</v>
      </c>
      <c r="S72" s="7">
        <v>100.0</v>
      </c>
      <c r="T72" s="7" t="s">
        <v>15</v>
      </c>
    </row>
    <row r="73">
      <c r="A73" s="7" t="s">
        <v>1464</v>
      </c>
      <c r="B73" s="7">
        <v>0.07405</v>
      </c>
      <c r="C73" s="7">
        <v>100.0</v>
      </c>
      <c r="D73" s="7" t="s">
        <v>15</v>
      </c>
      <c r="E73" s="7" t="s">
        <v>1465</v>
      </c>
      <c r="F73" s="7">
        <v>2.727</v>
      </c>
      <c r="G73" s="7">
        <v>100.0</v>
      </c>
      <c r="H73" s="7" t="s">
        <v>15</v>
      </c>
      <c r="I73" s="7" t="s">
        <v>1464</v>
      </c>
      <c r="J73" s="7">
        <v>2.05585</v>
      </c>
      <c r="K73" s="7">
        <v>100.0</v>
      </c>
      <c r="L73" s="7" t="s">
        <v>15</v>
      </c>
      <c r="M73" s="7" t="s">
        <v>1465</v>
      </c>
      <c r="O73" s="7">
        <v>100.0</v>
      </c>
      <c r="P73" s="7" t="s">
        <v>15</v>
      </c>
      <c r="Q73" s="7" t="s">
        <v>1464</v>
      </c>
      <c r="S73" s="7">
        <v>100.0</v>
      </c>
      <c r="T73" s="7" t="s">
        <v>15</v>
      </c>
    </row>
    <row r="74">
      <c r="A74" s="7" t="s">
        <v>1466</v>
      </c>
      <c r="B74" s="7">
        <v>0.09359</v>
      </c>
      <c r="C74" s="7">
        <v>100.0</v>
      </c>
      <c r="D74" s="7" t="s">
        <v>15</v>
      </c>
      <c r="E74" s="7" t="s">
        <v>1467</v>
      </c>
      <c r="F74" s="7">
        <v>2.53134</v>
      </c>
      <c r="G74" s="7">
        <v>100.0</v>
      </c>
      <c r="H74" s="7" t="s">
        <v>15</v>
      </c>
      <c r="I74" s="7" t="s">
        <v>1467</v>
      </c>
      <c r="J74" s="7">
        <v>1.9943</v>
      </c>
      <c r="K74" s="7">
        <v>100.0</v>
      </c>
      <c r="L74" s="7" t="s">
        <v>15</v>
      </c>
      <c r="M74" s="7" t="s">
        <v>1467</v>
      </c>
      <c r="O74" s="7">
        <v>100.0</v>
      </c>
      <c r="P74" s="7" t="s">
        <v>15</v>
      </c>
      <c r="Q74" s="7" t="s">
        <v>1466</v>
      </c>
      <c r="S74" s="7">
        <v>100.0</v>
      </c>
      <c r="T74" s="7" t="s">
        <v>15</v>
      </c>
    </row>
    <row r="75">
      <c r="A75" s="7" t="s">
        <v>1468</v>
      </c>
      <c r="B75" s="7">
        <v>0.02984</v>
      </c>
      <c r="C75" s="7">
        <v>100.0</v>
      </c>
      <c r="D75" s="7" t="s">
        <v>15</v>
      </c>
      <c r="E75" s="7" t="s">
        <v>1469</v>
      </c>
      <c r="F75" s="7">
        <v>2.01524</v>
      </c>
      <c r="G75" s="7">
        <v>100.0</v>
      </c>
      <c r="H75" s="7" t="s">
        <v>15</v>
      </c>
      <c r="I75" s="7" t="s">
        <v>1469</v>
      </c>
      <c r="J75" s="7">
        <v>2.06163</v>
      </c>
      <c r="K75" s="7">
        <v>100.0</v>
      </c>
      <c r="L75" s="7" t="s">
        <v>15</v>
      </c>
      <c r="M75" s="7" t="s">
        <v>1469</v>
      </c>
      <c r="O75" s="7">
        <v>100.0</v>
      </c>
      <c r="P75" s="7" t="s">
        <v>15</v>
      </c>
      <c r="Q75" s="7" t="s">
        <v>1468</v>
      </c>
      <c r="S75" s="7">
        <v>100.0</v>
      </c>
      <c r="T75" s="7" t="s">
        <v>15</v>
      </c>
    </row>
    <row r="76">
      <c r="A76" s="7" t="s">
        <v>1470</v>
      </c>
      <c r="B76" s="7">
        <v>0.04796</v>
      </c>
      <c r="C76" s="7">
        <v>100.0</v>
      </c>
      <c r="D76" s="7" t="s">
        <v>15</v>
      </c>
      <c r="E76" s="7" t="s">
        <v>1471</v>
      </c>
      <c r="F76" s="7">
        <v>1.98248</v>
      </c>
      <c r="G76" s="7">
        <v>100.0</v>
      </c>
      <c r="H76" s="7" t="s">
        <v>15</v>
      </c>
      <c r="I76" s="7" t="s">
        <v>1471</v>
      </c>
      <c r="J76" s="7">
        <v>2.29004</v>
      </c>
      <c r="K76" s="7">
        <v>100.0</v>
      </c>
      <c r="L76" s="7" t="s">
        <v>15</v>
      </c>
      <c r="M76" s="7" t="s">
        <v>1471</v>
      </c>
      <c r="O76" s="7">
        <v>100.0</v>
      </c>
      <c r="P76" s="7" t="s">
        <v>15</v>
      </c>
      <c r="Q76" s="7" t="s">
        <v>1470</v>
      </c>
      <c r="S76" s="7">
        <v>100.0</v>
      </c>
      <c r="T76" s="7" t="s">
        <v>15</v>
      </c>
    </row>
    <row r="77">
      <c r="A77" s="7" t="s">
        <v>1472</v>
      </c>
      <c r="B77" s="7">
        <v>0.06884</v>
      </c>
      <c r="C77" s="7">
        <v>100.0</v>
      </c>
      <c r="D77" s="7" t="s">
        <v>15</v>
      </c>
      <c r="E77" s="7" t="s">
        <v>1473</v>
      </c>
      <c r="F77" s="7">
        <v>3.56423</v>
      </c>
      <c r="G77" s="7">
        <v>100.0</v>
      </c>
      <c r="H77" s="7" t="s">
        <v>15</v>
      </c>
      <c r="I77" s="7" t="s">
        <v>1473</v>
      </c>
      <c r="J77" s="7">
        <v>1.81798</v>
      </c>
      <c r="K77" s="7">
        <v>100.0</v>
      </c>
      <c r="L77" s="7" t="s">
        <v>15</v>
      </c>
      <c r="M77" s="7" t="s">
        <v>1473</v>
      </c>
      <c r="O77" s="7">
        <v>100.0</v>
      </c>
      <c r="P77" s="7" t="s">
        <v>15</v>
      </c>
      <c r="Q77" s="7" t="s">
        <v>1472</v>
      </c>
      <c r="S77" s="7">
        <v>100.0</v>
      </c>
      <c r="T77" s="7" t="s">
        <v>15</v>
      </c>
    </row>
    <row r="78">
      <c r="A78" s="7" t="s">
        <v>1474</v>
      </c>
      <c r="B78" s="7">
        <v>0.12868</v>
      </c>
      <c r="C78" s="7">
        <v>100.0</v>
      </c>
      <c r="D78" s="7" t="s">
        <v>15</v>
      </c>
      <c r="E78" s="7" t="s">
        <v>1475</v>
      </c>
      <c r="F78" s="7">
        <v>2.80723</v>
      </c>
      <c r="G78" s="7">
        <v>100.0</v>
      </c>
      <c r="H78" s="7" t="s">
        <v>15</v>
      </c>
      <c r="I78" s="7" t="s">
        <v>1475</v>
      </c>
      <c r="J78" s="7">
        <v>1.72442</v>
      </c>
      <c r="K78" s="7">
        <v>100.0</v>
      </c>
      <c r="L78" s="7" t="s">
        <v>15</v>
      </c>
      <c r="M78" s="7" t="s">
        <v>1475</v>
      </c>
      <c r="O78" s="7">
        <v>100.0</v>
      </c>
      <c r="P78" s="7" t="s">
        <v>15</v>
      </c>
      <c r="Q78" s="7" t="s">
        <v>1474</v>
      </c>
      <c r="S78" s="7">
        <v>100.0</v>
      </c>
      <c r="T78" s="7" t="s">
        <v>15</v>
      </c>
    </row>
    <row r="79">
      <c r="A79" s="7" t="s">
        <v>1476</v>
      </c>
      <c r="B79" s="7">
        <v>0.09393</v>
      </c>
      <c r="C79" s="7">
        <v>100.0</v>
      </c>
      <c r="D79" s="7" t="s">
        <v>15</v>
      </c>
      <c r="E79" s="7" t="s">
        <v>1477</v>
      </c>
      <c r="F79" s="7">
        <v>2.57974</v>
      </c>
      <c r="G79" s="7">
        <v>100.0</v>
      </c>
      <c r="H79" s="7" t="s">
        <v>15</v>
      </c>
      <c r="I79" s="7" t="s">
        <v>1476</v>
      </c>
      <c r="J79" s="7">
        <v>2.08897</v>
      </c>
      <c r="K79" s="7">
        <v>100.0</v>
      </c>
      <c r="L79" s="7" t="s">
        <v>15</v>
      </c>
      <c r="M79" s="7" t="s">
        <v>1477</v>
      </c>
      <c r="O79" s="7">
        <v>100.0</v>
      </c>
      <c r="P79" s="7" t="s">
        <v>15</v>
      </c>
      <c r="Q79" s="7" t="s">
        <v>1476</v>
      </c>
      <c r="S79" s="7">
        <v>100.0</v>
      </c>
      <c r="T79" s="7" t="s">
        <v>15</v>
      </c>
    </row>
    <row r="80">
      <c r="A80" s="7" t="s">
        <v>1478</v>
      </c>
      <c r="B80" s="7">
        <v>0.18752</v>
      </c>
      <c r="C80" s="7">
        <v>100.0</v>
      </c>
      <c r="D80" s="7" t="s">
        <v>15</v>
      </c>
      <c r="E80" s="7" t="s">
        <v>1479</v>
      </c>
      <c r="F80" s="7">
        <v>1.92134</v>
      </c>
      <c r="G80" s="7">
        <v>100.0</v>
      </c>
      <c r="H80" s="7" t="s">
        <v>15</v>
      </c>
      <c r="I80" s="7" t="s">
        <v>1479</v>
      </c>
      <c r="J80" s="7">
        <v>1.86047</v>
      </c>
      <c r="K80" s="7">
        <v>100.0</v>
      </c>
      <c r="L80" s="7" t="s">
        <v>15</v>
      </c>
      <c r="M80" s="7" t="s">
        <v>1479</v>
      </c>
      <c r="O80" s="7">
        <v>100.0</v>
      </c>
      <c r="P80" s="7" t="s">
        <v>15</v>
      </c>
      <c r="Q80" s="7" t="s">
        <v>1478</v>
      </c>
      <c r="S80" s="7">
        <v>100.0</v>
      </c>
      <c r="T80" s="7" t="s">
        <v>15</v>
      </c>
    </row>
    <row r="81">
      <c r="A81" s="7" t="s">
        <v>1480</v>
      </c>
      <c r="B81" s="7">
        <v>0.40098</v>
      </c>
      <c r="C81" s="7">
        <v>100.0</v>
      </c>
      <c r="D81" s="7" t="s">
        <v>15</v>
      </c>
      <c r="E81" s="7" t="s">
        <v>1481</v>
      </c>
      <c r="F81" s="7">
        <v>1.91352</v>
      </c>
      <c r="G81" s="7">
        <v>100.0</v>
      </c>
      <c r="H81" s="7" t="s">
        <v>15</v>
      </c>
      <c r="I81" s="7" t="s">
        <v>1480</v>
      </c>
      <c r="J81" s="7">
        <v>1.93402</v>
      </c>
      <c r="K81" s="7">
        <v>100.0</v>
      </c>
      <c r="L81" s="7" t="s">
        <v>15</v>
      </c>
      <c r="M81" s="7" t="s">
        <v>1481</v>
      </c>
      <c r="O81" s="7">
        <v>100.0</v>
      </c>
      <c r="P81" s="7" t="s">
        <v>15</v>
      </c>
      <c r="Q81" s="7" t="s">
        <v>1480</v>
      </c>
      <c r="S81" s="7">
        <v>100.0</v>
      </c>
      <c r="T81" s="7" t="s">
        <v>15</v>
      </c>
    </row>
    <row r="82">
      <c r="A82" s="7" t="s">
        <v>1482</v>
      </c>
      <c r="B82" s="7">
        <v>0.0505</v>
      </c>
      <c r="C82" s="7">
        <v>100.0</v>
      </c>
      <c r="D82" s="7" t="s">
        <v>15</v>
      </c>
      <c r="E82" s="7" t="s">
        <v>1483</v>
      </c>
      <c r="F82" s="7">
        <v>2.51355</v>
      </c>
      <c r="G82" s="7">
        <v>100.0</v>
      </c>
      <c r="H82" s="7" t="s">
        <v>15</v>
      </c>
      <c r="I82" s="7" t="s">
        <v>1483</v>
      </c>
      <c r="J82" s="7">
        <v>2.16115</v>
      </c>
      <c r="K82" s="7">
        <v>100.0</v>
      </c>
      <c r="L82" s="7" t="s">
        <v>15</v>
      </c>
      <c r="M82" s="7" t="s">
        <v>1483</v>
      </c>
      <c r="O82" s="7">
        <v>100.0</v>
      </c>
      <c r="P82" s="7" t="s">
        <v>15</v>
      </c>
      <c r="Q82" s="7" t="s">
        <v>1482</v>
      </c>
      <c r="S82" s="7">
        <v>100.0</v>
      </c>
      <c r="T82" s="7" t="s">
        <v>15</v>
      </c>
    </row>
    <row r="83">
      <c r="A83" s="7" t="s">
        <v>1484</v>
      </c>
      <c r="B83" s="7">
        <v>0.29438</v>
      </c>
      <c r="C83" s="7">
        <v>100.0</v>
      </c>
      <c r="D83" s="7" t="s">
        <v>15</v>
      </c>
      <c r="E83" s="7" t="s">
        <v>1485</v>
      </c>
      <c r="F83" s="7">
        <v>2.76245</v>
      </c>
      <c r="G83" s="7">
        <v>100.0</v>
      </c>
      <c r="H83" s="7" t="s">
        <v>15</v>
      </c>
      <c r="I83" s="7" t="s">
        <v>1485</v>
      </c>
      <c r="J83" s="7">
        <v>1.95637</v>
      </c>
      <c r="K83" s="7">
        <v>100.0</v>
      </c>
      <c r="L83" s="7" t="s">
        <v>15</v>
      </c>
      <c r="M83" s="7" t="s">
        <v>1485</v>
      </c>
      <c r="O83" s="7">
        <v>100.0</v>
      </c>
      <c r="P83" s="7" t="s">
        <v>15</v>
      </c>
      <c r="Q83" s="7" t="s">
        <v>1484</v>
      </c>
      <c r="S83" s="7">
        <v>100.0</v>
      </c>
      <c r="T83" s="7" t="s">
        <v>15</v>
      </c>
    </row>
    <row r="84">
      <c r="A84" s="7" t="s">
        <v>1486</v>
      </c>
      <c r="B84" s="7">
        <v>0.07258</v>
      </c>
      <c r="C84" s="7">
        <v>100.0</v>
      </c>
      <c r="D84" s="7" t="s">
        <v>15</v>
      </c>
      <c r="E84" s="7" t="s">
        <v>1487</v>
      </c>
      <c r="F84" s="7">
        <v>2.10022</v>
      </c>
      <c r="G84" s="7">
        <v>100.0</v>
      </c>
      <c r="H84" s="7" t="s">
        <v>15</v>
      </c>
      <c r="I84" s="7" t="s">
        <v>1487</v>
      </c>
      <c r="J84" s="7">
        <v>2.39733</v>
      </c>
      <c r="K84" s="7">
        <v>100.0</v>
      </c>
      <c r="L84" s="7" t="s">
        <v>15</v>
      </c>
      <c r="M84" s="7" t="s">
        <v>1487</v>
      </c>
      <c r="O84" s="7">
        <v>100.0</v>
      </c>
      <c r="P84" s="7" t="s">
        <v>15</v>
      </c>
      <c r="Q84" s="7" t="s">
        <v>1486</v>
      </c>
      <c r="S84" s="7">
        <v>100.0</v>
      </c>
      <c r="T84" s="7" t="s">
        <v>15</v>
      </c>
    </row>
    <row r="85">
      <c r="A85" s="7" t="s">
        <v>1488</v>
      </c>
      <c r="B85" s="7">
        <v>0.06915</v>
      </c>
      <c r="C85" s="7">
        <v>100.0</v>
      </c>
      <c r="D85" s="7" t="s">
        <v>15</v>
      </c>
      <c r="E85" s="7" t="s">
        <v>1489</v>
      </c>
      <c r="F85" s="7">
        <v>2.00056</v>
      </c>
      <c r="G85" s="7">
        <v>100.0</v>
      </c>
      <c r="H85" s="7" t="s">
        <v>15</v>
      </c>
      <c r="I85" s="7" t="s">
        <v>1489</v>
      </c>
      <c r="J85" s="7">
        <v>1.90753</v>
      </c>
      <c r="K85" s="7">
        <v>100.0</v>
      </c>
      <c r="L85" s="7" t="s">
        <v>15</v>
      </c>
      <c r="M85" s="7" t="s">
        <v>1489</v>
      </c>
      <c r="O85" s="7">
        <v>100.0</v>
      </c>
      <c r="P85" s="7" t="s">
        <v>15</v>
      </c>
      <c r="Q85" s="7" t="s">
        <v>1488</v>
      </c>
      <c r="S85" s="7">
        <v>100.0</v>
      </c>
      <c r="T85" s="7" t="s">
        <v>15</v>
      </c>
    </row>
    <row r="86">
      <c r="A86" s="7" t="s">
        <v>1490</v>
      </c>
      <c r="B86" s="7">
        <v>0.0658</v>
      </c>
      <c r="C86" s="7">
        <v>100.0</v>
      </c>
      <c r="D86" s="7" t="s">
        <v>15</v>
      </c>
      <c r="E86" s="7" t="s">
        <v>1491</v>
      </c>
      <c r="F86" s="7">
        <v>2.43381</v>
      </c>
      <c r="G86" s="7">
        <v>100.0</v>
      </c>
      <c r="H86" s="7" t="s">
        <v>15</v>
      </c>
      <c r="I86" s="7" t="s">
        <v>1491</v>
      </c>
      <c r="J86" s="7">
        <v>1.72892</v>
      </c>
      <c r="K86" s="7">
        <v>100.0</v>
      </c>
      <c r="L86" s="7" t="s">
        <v>15</v>
      </c>
      <c r="M86" s="7" t="s">
        <v>1491</v>
      </c>
      <c r="O86" s="7">
        <v>100.0</v>
      </c>
      <c r="P86" s="7" t="s">
        <v>15</v>
      </c>
      <c r="Q86" s="7" t="s">
        <v>1490</v>
      </c>
      <c r="S86" s="7">
        <v>100.0</v>
      </c>
      <c r="T86" s="7" t="s">
        <v>15</v>
      </c>
    </row>
    <row r="87">
      <c r="A87" s="7" t="s">
        <v>1492</v>
      </c>
      <c r="B87" s="7">
        <v>0.07147</v>
      </c>
      <c r="C87" s="7">
        <v>100.0</v>
      </c>
      <c r="D87" s="7" t="s">
        <v>15</v>
      </c>
      <c r="E87" s="7" t="s">
        <v>1493</v>
      </c>
      <c r="F87" s="7">
        <v>1.98906</v>
      </c>
      <c r="G87" s="7">
        <v>100.0</v>
      </c>
      <c r="H87" s="7" t="s">
        <v>15</v>
      </c>
      <c r="I87" s="7" t="s">
        <v>1493</v>
      </c>
      <c r="J87" s="7">
        <v>1.79226</v>
      </c>
      <c r="K87" s="7">
        <v>100.0</v>
      </c>
      <c r="L87" s="7" t="s">
        <v>15</v>
      </c>
      <c r="M87" s="7" t="s">
        <v>1493</v>
      </c>
      <c r="O87" s="7">
        <v>100.0</v>
      </c>
      <c r="P87" s="7" t="s">
        <v>15</v>
      </c>
      <c r="Q87" s="7" t="s">
        <v>1492</v>
      </c>
      <c r="S87" s="7">
        <v>100.0</v>
      </c>
      <c r="T87" s="7" t="s">
        <v>15</v>
      </c>
    </row>
    <row r="88">
      <c r="A88" s="7" t="s">
        <v>1494</v>
      </c>
      <c r="B88" s="7">
        <v>0.08472</v>
      </c>
      <c r="C88" s="7">
        <v>100.0</v>
      </c>
      <c r="D88" s="7" t="s">
        <v>15</v>
      </c>
      <c r="E88" s="7" t="s">
        <v>1495</v>
      </c>
      <c r="F88" s="7">
        <v>1.88224</v>
      </c>
      <c r="G88" s="7">
        <v>100.0</v>
      </c>
      <c r="H88" s="7" t="s">
        <v>15</v>
      </c>
      <c r="I88" s="7" t="s">
        <v>1495</v>
      </c>
      <c r="J88" s="7">
        <v>1.86073</v>
      </c>
      <c r="K88" s="7">
        <v>100.0</v>
      </c>
      <c r="L88" s="7" t="s">
        <v>15</v>
      </c>
      <c r="M88" s="7" t="s">
        <v>1495</v>
      </c>
      <c r="O88" s="7">
        <v>100.0</v>
      </c>
      <c r="P88" s="7" t="s">
        <v>15</v>
      </c>
      <c r="Q88" s="7" t="s">
        <v>1494</v>
      </c>
      <c r="S88" s="7">
        <v>100.0</v>
      </c>
      <c r="T88" s="7" t="s">
        <v>15</v>
      </c>
    </row>
    <row r="89">
      <c r="A89" s="7" t="s">
        <v>1496</v>
      </c>
      <c r="B89" s="7">
        <v>0.05319</v>
      </c>
      <c r="C89" s="7">
        <v>100.0</v>
      </c>
      <c r="D89" s="7" t="s">
        <v>15</v>
      </c>
      <c r="E89" s="7" t="s">
        <v>1497</v>
      </c>
      <c r="F89" s="7">
        <v>1.89901</v>
      </c>
      <c r="G89" s="7">
        <v>100.0</v>
      </c>
      <c r="H89" s="7" t="s">
        <v>15</v>
      </c>
      <c r="I89" s="7" t="s">
        <v>1497</v>
      </c>
      <c r="J89" s="7">
        <v>1.96095</v>
      </c>
      <c r="K89" s="7">
        <v>100.0</v>
      </c>
      <c r="L89" s="7" t="s">
        <v>15</v>
      </c>
      <c r="M89" s="7" t="s">
        <v>1497</v>
      </c>
      <c r="O89" s="7">
        <v>100.0</v>
      </c>
      <c r="P89" s="7" t="s">
        <v>15</v>
      </c>
      <c r="Q89" s="7" t="s">
        <v>1496</v>
      </c>
      <c r="S89" s="7">
        <v>100.0</v>
      </c>
      <c r="T89" s="7" t="s">
        <v>15</v>
      </c>
    </row>
    <row r="90">
      <c r="A90" s="7" t="s">
        <v>1498</v>
      </c>
      <c r="B90" s="7">
        <v>0.07541</v>
      </c>
      <c r="C90" s="7">
        <v>100.0</v>
      </c>
      <c r="D90" s="7" t="s">
        <v>15</v>
      </c>
      <c r="E90" s="7" t="s">
        <v>1499</v>
      </c>
      <c r="F90" s="7">
        <v>1.6963</v>
      </c>
      <c r="G90" s="7">
        <v>100.0</v>
      </c>
      <c r="H90" s="7" t="s">
        <v>15</v>
      </c>
      <c r="I90" s="7" t="s">
        <v>1499</v>
      </c>
      <c r="J90" s="7">
        <v>2.28827</v>
      </c>
      <c r="K90" s="7">
        <v>100.0</v>
      </c>
      <c r="L90" s="7" t="s">
        <v>15</v>
      </c>
      <c r="M90" s="7" t="s">
        <v>1499</v>
      </c>
      <c r="O90" s="7">
        <v>100.0</v>
      </c>
      <c r="P90" s="7" t="s">
        <v>15</v>
      </c>
      <c r="Q90" s="7" t="s">
        <v>1498</v>
      </c>
      <c r="S90" s="7">
        <v>100.0</v>
      </c>
      <c r="T90" s="7" t="s">
        <v>15</v>
      </c>
    </row>
    <row r="91">
      <c r="A91" s="7" t="s">
        <v>1500</v>
      </c>
      <c r="B91" s="7">
        <v>0.07626</v>
      </c>
      <c r="C91" s="7">
        <v>100.0</v>
      </c>
      <c r="D91" s="7" t="s">
        <v>15</v>
      </c>
      <c r="E91" s="7" t="s">
        <v>1501</v>
      </c>
      <c r="F91" s="7">
        <v>1.7305</v>
      </c>
      <c r="G91" s="7">
        <v>100.0</v>
      </c>
      <c r="H91" s="7" t="s">
        <v>15</v>
      </c>
      <c r="I91" s="7" t="s">
        <v>1501</v>
      </c>
      <c r="J91" s="7">
        <v>1.70163</v>
      </c>
      <c r="K91" s="7">
        <v>100.0</v>
      </c>
      <c r="L91" s="7" t="s">
        <v>15</v>
      </c>
      <c r="M91" s="7" t="s">
        <v>1501</v>
      </c>
      <c r="O91" s="7">
        <v>100.0</v>
      </c>
      <c r="P91" s="7" t="s">
        <v>15</v>
      </c>
      <c r="Q91" s="7" t="s">
        <v>1500</v>
      </c>
      <c r="S91" s="7">
        <v>100.0</v>
      </c>
      <c r="T91" s="7" t="s">
        <v>15</v>
      </c>
    </row>
    <row r="92">
      <c r="A92" s="7" t="s">
        <v>1502</v>
      </c>
      <c r="B92" s="7">
        <v>0.05255</v>
      </c>
      <c r="C92" s="7">
        <v>100.0</v>
      </c>
      <c r="D92" s="7" t="s">
        <v>15</v>
      </c>
      <c r="E92" s="7" t="s">
        <v>1503</v>
      </c>
      <c r="F92" s="7">
        <v>2.39501</v>
      </c>
      <c r="G92" s="7">
        <v>100.0</v>
      </c>
      <c r="H92" s="7" t="s">
        <v>15</v>
      </c>
      <c r="I92" s="7" t="s">
        <v>1503</v>
      </c>
      <c r="J92" s="7">
        <v>1.98609</v>
      </c>
      <c r="K92" s="7">
        <v>100.0</v>
      </c>
      <c r="L92" s="7" t="s">
        <v>15</v>
      </c>
      <c r="M92" s="7" t="s">
        <v>1503</v>
      </c>
      <c r="O92" s="7">
        <v>100.0</v>
      </c>
      <c r="P92" s="7" t="s">
        <v>15</v>
      </c>
      <c r="Q92" s="7" t="s">
        <v>1502</v>
      </c>
      <c r="S92" s="7">
        <v>100.0</v>
      </c>
      <c r="T92" s="7" t="s">
        <v>15</v>
      </c>
    </row>
    <row r="93">
      <c r="A93" s="7" t="s">
        <v>1504</v>
      </c>
      <c r="B93" s="7">
        <v>0.05847</v>
      </c>
      <c r="C93" s="7">
        <v>100.0</v>
      </c>
      <c r="D93" s="7" t="s">
        <v>15</v>
      </c>
      <c r="E93" s="7" t="s">
        <v>1504</v>
      </c>
      <c r="F93" s="7">
        <v>1.6811</v>
      </c>
      <c r="G93" s="7">
        <v>100.0</v>
      </c>
      <c r="H93" s="7" t="s">
        <v>15</v>
      </c>
      <c r="I93" s="7" t="s">
        <v>1504</v>
      </c>
      <c r="J93" s="7">
        <v>1.91092</v>
      </c>
      <c r="K93" s="7">
        <v>100.0</v>
      </c>
      <c r="L93" s="7" t="s">
        <v>15</v>
      </c>
      <c r="M93" s="7" t="s">
        <v>1505</v>
      </c>
      <c r="O93" s="7">
        <v>100.0</v>
      </c>
      <c r="P93" s="7" t="s">
        <v>15</v>
      </c>
      <c r="Q93" s="7" t="s">
        <v>1504</v>
      </c>
      <c r="S93" s="7">
        <v>100.0</v>
      </c>
      <c r="T93" s="7" t="s">
        <v>15</v>
      </c>
    </row>
    <row r="94">
      <c r="A94" s="7" t="s">
        <v>1506</v>
      </c>
      <c r="B94" s="7">
        <v>0.22226</v>
      </c>
      <c r="C94" s="7">
        <v>100.0</v>
      </c>
      <c r="D94" s="7" t="s">
        <v>15</v>
      </c>
      <c r="E94" s="7" t="s">
        <v>1507</v>
      </c>
      <c r="F94" s="7">
        <v>1.80855</v>
      </c>
      <c r="G94" s="7">
        <v>100.0</v>
      </c>
      <c r="H94" s="7" t="s">
        <v>15</v>
      </c>
      <c r="I94" s="7" t="s">
        <v>1507</v>
      </c>
      <c r="J94" s="7">
        <v>2.06998</v>
      </c>
      <c r="K94" s="7">
        <v>100.0</v>
      </c>
      <c r="L94" s="7" t="s">
        <v>15</v>
      </c>
      <c r="M94" s="7" t="s">
        <v>1507</v>
      </c>
      <c r="O94" s="7">
        <v>100.0</v>
      </c>
      <c r="P94" s="7" t="s">
        <v>15</v>
      </c>
      <c r="Q94" s="7" t="s">
        <v>1506</v>
      </c>
      <c r="S94" s="7">
        <v>100.0</v>
      </c>
      <c r="T94" s="7" t="s">
        <v>15</v>
      </c>
    </row>
    <row r="95">
      <c r="A95" s="7" t="s">
        <v>1508</v>
      </c>
      <c r="B95" s="7">
        <v>0.08648</v>
      </c>
      <c r="C95" s="7">
        <v>100.0</v>
      </c>
      <c r="D95" s="7" t="s">
        <v>15</v>
      </c>
      <c r="E95" s="7" t="s">
        <v>1508</v>
      </c>
      <c r="F95" s="7">
        <v>1.70994</v>
      </c>
      <c r="G95" s="7">
        <v>100.0</v>
      </c>
      <c r="H95" s="7" t="s">
        <v>15</v>
      </c>
      <c r="I95" s="7" t="s">
        <v>1508</v>
      </c>
      <c r="J95" s="7">
        <v>1.79014</v>
      </c>
      <c r="K95" s="7">
        <v>100.0</v>
      </c>
      <c r="L95" s="7" t="s">
        <v>15</v>
      </c>
      <c r="M95" s="7" t="s">
        <v>1509</v>
      </c>
      <c r="O95" s="7">
        <v>100.0</v>
      </c>
      <c r="P95" s="7" t="s">
        <v>15</v>
      </c>
      <c r="Q95" s="7" t="s">
        <v>1508</v>
      </c>
      <c r="S95" s="7">
        <v>100.0</v>
      </c>
      <c r="T95" s="7" t="s">
        <v>15</v>
      </c>
    </row>
    <row r="96">
      <c r="A96" s="7" t="s">
        <v>1510</v>
      </c>
      <c r="B96" s="7">
        <v>0.0704</v>
      </c>
      <c r="C96" s="7">
        <v>100.0</v>
      </c>
      <c r="D96" s="7" t="s">
        <v>15</v>
      </c>
      <c r="E96" s="7" t="s">
        <v>1511</v>
      </c>
      <c r="F96" s="7">
        <v>1.88932</v>
      </c>
      <c r="G96" s="7">
        <v>100.0</v>
      </c>
      <c r="H96" s="7" t="s">
        <v>15</v>
      </c>
      <c r="I96" s="7" t="s">
        <v>1510</v>
      </c>
      <c r="J96" s="7">
        <v>1.93252</v>
      </c>
      <c r="K96" s="7">
        <v>100.0</v>
      </c>
      <c r="L96" s="7" t="s">
        <v>15</v>
      </c>
      <c r="M96" s="7" t="s">
        <v>1511</v>
      </c>
      <c r="O96" s="7">
        <v>100.0</v>
      </c>
      <c r="P96" s="7" t="s">
        <v>15</v>
      </c>
      <c r="Q96" s="7" t="s">
        <v>1510</v>
      </c>
      <c r="S96" s="7">
        <v>100.0</v>
      </c>
      <c r="T96" s="7" t="s">
        <v>15</v>
      </c>
    </row>
    <row r="97">
      <c r="A97" s="7" t="s">
        <v>1512</v>
      </c>
      <c r="B97" s="7">
        <v>0.03488</v>
      </c>
      <c r="C97" s="7">
        <v>100.0</v>
      </c>
      <c r="D97" s="7" t="s">
        <v>15</v>
      </c>
      <c r="E97" s="7" t="s">
        <v>1513</v>
      </c>
      <c r="F97" s="7">
        <v>2.03715</v>
      </c>
      <c r="G97" s="7">
        <v>100.0</v>
      </c>
      <c r="H97" s="7" t="s">
        <v>15</v>
      </c>
      <c r="I97" s="7" t="s">
        <v>1512</v>
      </c>
      <c r="J97" s="7">
        <v>1.7371</v>
      </c>
      <c r="K97" s="7">
        <v>100.0</v>
      </c>
      <c r="L97" s="7" t="s">
        <v>15</v>
      </c>
      <c r="M97" s="7" t="s">
        <v>1513</v>
      </c>
      <c r="O97" s="7">
        <v>100.0</v>
      </c>
      <c r="P97" s="7" t="s">
        <v>15</v>
      </c>
      <c r="Q97" s="7" t="s">
        <v>1512</v>
      </c>
      <c r="S97" s="7">
        <v>100.0</v>
      </c>
      <c r="T97" s="7" t="s">
        <v>15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14.38"/>
    <col customWidth="1" min="4" max="4" width="7.75"/>
    <col customWidth="1" min="5" max="5" width="45.5"/>
    <col customWidth="1" min="6" max="6" width="14.38"/>
    <col customWidth="1" min="8" max="8" width="7.75"/>
    <col customWidth="1" min="9" max="9" width="42.88"/>
    <col customWidth="1" min="10" max="10" width="14.38"/>
    <col customWidth="1" min="12" max="12" width="7.75"/>
    <col customWidth="1" min="13" max="13" width="46.0"/>
    <col customWidth="1" min="16" max="16" width="7.75"/>
    <col customWidth="1" min="17" max="17" width="42.38"/>
    <col customWidth="1" min="18" max="18" width="14.38"/>
    <col customWidth="1" min="20" max="20" width="7.75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3" t="s">
        <v>1</v>
      </c>
      <c r="K1" s="3" t="s">
        <v>2</v>
      </c>
      <c r="L1" s="3" t="s">
        <v>3</v>
      </c>
      <c r="M1" s="4" t="s">
        <v>6</v>
      </c>
      <c r="N1" s="4" t="s">
        <v>1</v>
      </c>
      <c r="O1" s="4" t="s">
        <v>2</v>
      </c>
      <c r="P1" s="4" t="s">
        <v>3</v>
      </c>
      <c r="Q1" s="5" t="s">
        <v>7</v>
      </c>
      <c r="R1" s="5" t="s">
        <v>1</v>
      </c>
      <c r="S1" s="5" t="s">
        <v>2</v>
      </c>
      <c r="T1" s="5" t="s">
        <v>3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1514</v>
      </c>
      <c r="B2" s="7">
        <v>0.30093</v>
      </c>
      <c r="C2" s="7">
        <v>100.0</v>
      </c>
      <c r="D2" s="7" t="s">
        <v>15</v>
      </c>
      <c r="E2" s="7" t="s">
        <v>1514</v>
      </c>
      <c r="F2" s="7">
        <v>1.90158</v>
      </c>
      <c r="G2" s="7">
        <v>100.0</v>
      </c>
      <c r="H2" s="7" t="s">
        <v>15</v>
      </c>
      <c r="I2" s="7" t="s">
        <v>1514</v>
      </c>
      <c r="J2" s="7">
        <v>1.61213</v>
      </c>
      <c r="K2" s="7">
        <v>100.0</v>
      </c>
      <c r="L2" s="7" t="s">
        <v>15</v>
      </c>
      <c r="M2" s="7" t="s">
        <v>1514</v>
      </c>
      <c r="N2" s="7">
        <v>5.55316</v>
      </c>
      <c r="O2" s="7">
        <v>100.0</v>
      </c>
      <c r="P2" s="7" t="s">
        <v>15</v>
      </c>
      <c r="Q2" s="7" t="s">
        <v>1514</v>
      </c>
      <c r="R2" s="7">
        <v>6.33615</v>
      </c>
      <c r="S2" s="7">
        <v>100.0</v>
      </c>
      <c r="T2" s="7" t="s">
        <v>15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75</v>
      </c>
      <c r="B3" s="7">
        <v>0.08449</v>
      </c>
      <c r="C3" s="7">
        <v>100.0</v>
      </c>
      <c r="D3" s="7" t="s">
        <v>15</v>
      </c>
      <c r="E3" s="7" t="s">
        <v>75</v>
      </c>
      <c r="F3" s="7">
        <v>1.73192</v>
      </c>
      <c r="G3" s="7">
        <v>100.0</v>
      </c>
      <c r="H3" s="7" t="s">
        <v>15</v>
      </c>
      <c r="I3" s="7" t="s">
        <v>75</v>
      </c>
      <c r="J3" s="7">
        <v>1.58283</v>
      </c>
      <c r="K3" s="7">
        <v>100.0</v>
      </c>
      <c r="L3" s="7" t="s">
        <v>15</v>
      </c>
      <c r="M3" s="7" t="s">
        <v>75</v>
      </c>
      <c r="O3" s="7">
        <v>100.0</v>
      </c>
      <c r="P3" s="7" t="s">
        <v>15</v>
      </c>
      <c r="Q3" s="7" t="s">
        <v>75</v>
      </c>
      <c r="S3" s="7">
        <v>100.0</v>
      </c>
      <c r="T3" s="7" t="s">
        <v>15</v>
      </c>
      <c r="U3" s="8">
        <f>AVERAGE(B2:B1000)</f>
        <v>0.0849087234</v>
      </c>
      <c r="V3" s="8">
        <f>AVERAGE(F2:F1000)</f>
        <v>1.924201277</v>
      </c>
      <c r="W3" s="8">
        <f>AVERAGE(J2:J1000)</f>
        <v>2.053305106</v>
      </c>
      <c r="X3" s="8">
        <f>N2/COUNTA(M2:M1000)</f>
        <v>0.1181523404</v>
      </c>
      <c r="Y3" s="8">
        <f>R2/COUNTA(Q2:Q1000)</f>
        <v>0.1348117021</v>
      </c>
      <c r="Z3" s="7" t="s">
        <v>18</v>
      </c>
    </row>
    <row r="4">
      <c r="A4" s="7" t="s">
        <v>1515</v>
      </c>
      <c r="B4" s="18">
        <v>0.06558</v>
      </c>
      <c r="C4" s="7">
        <v>100.0</v>
      </c>
      <c r="D4" s="7" t="s">
        <v>15</v>
      </c>
      <c r="E4" s="7" t="s">
        <v>1515</v>
      </c>
      <c r="F4" s="7">
        <v>1.95372</v>
      </c>
      <c r="G4" s="7">
        <v>100.0</v>
      </c>
      <c r="H4" s="7" t="s">
        <v>15</v>
      </c>
      <c r="I4" s="7" t="s">
        <v>1516</v>
      </c>
      <c r="J4" s="7">
        <v>1.96273</v>
      </c>
      <c r="K4" s="7">
        <v>68.42</v>
      </c>
      <c r="L4" s="7" t="s">
        <v>26</v>
      </c>
      <c r="M4" s="7" t="s">
        <v>1515</v>
      </c>
      <c r="O4" s="7">
        <v>100.0</v>
      </c>
      <c r="P4" s="7" t="s">
        <v>15</v>
      </c>
      <c r="Q4" s="7" t="s">
        <v>1515</v>
      </c>
      <c r="S4" s="7">
        <v>100.0</v>
      </c>
      <c r="T4" s="7" t="s">
        <v>15</v>
      </c>
      <c r="U4" s="8">
        <f>STDEV(B2:B1000)</f>
        <v>0.07467364568</v>
      </c>
      <c r="V4" s="8">
        <f>STDEV(F2:F1000)</f>
        <v>0.2638587114</v>
      </c>
      <c r="W4" s="8">
        <f>STDEV(J2:J1000)</f>
        <v>0.5821129178</v>
      </c>
      <c r="X4" s="8"/>
      <c r="Y4" s="8"/>
      <c r="Z4" s="7" t="s">
        <v>20</v>
      </c>
    </row>
    <row r="5">
      <c r="A5" s="7" t="s">
        <v>1517</v>
      </c>
      <c r="B5" s="19">
        <v>0.06059</v>
      </c>
      <c r="C5" s="7">
        <v>100.0</v>
      </c>
      <c r="D5" s="7" t="s">
        <v>15</v>
      </c>
      <c r="E5" s="7" t="s">
        <v>1517</v>
      </c>
      <c r="F5" s="7">
        <v>1.65386</v>
      </c>
      <c r="G5" s="7">
        <v>100.0</v>
      </c>
      <c r="H5" s="7" t="s">
        <v>15</v>
      </c>
      <c r="I5" s="7" t="s">
        <v>1517</v>
      </c>
      <c r="J5" s="7">
        <v>1.6031</v>
      </c>
      <c r="K5" s="7">
        <v>100.0</v>
      </c>
      <c r="L5" s="7" t="s">
        <v>15</v>
      </c>
      <c r="M5" s="7" t="s">
        <v>1517</v>
      </c>
      <c r="O5" s="7">
        <v>100.0</v>
      </c>
      <c r="P5" s="7" t="s">
        <v>15</v>
      </c>
      <c r="Q5" s="7" t="s">
        <v>1518</v>
      </c>
      <c r="S5" s="7">
        <v>69.57</v>
      </c>
      <c r="T5" s="7" t="s">
        <v>26</v>
      </c>
      <c r="U5" s="8">
        <f>MAX(B2:B1000)</f>
        <v>0.42557</v>
      </c>
      <c r="V5" s="8">
        <f>MAX(F2:F1000)</f>
        <v>3.08385</v>
      </c>
      <c r="W5" s="8">
        <f>MAX(J2:J1000)</f>
        <v>4.71545</v>
      </c>
      <c r="X5" s="8"/>
      <c r="Y5" s="8"/>
      <c r="Z5" s="7" t="s">
        <v>22</v>
      </c>
    </row>
    <row r="6">
      <c r="A6" s="7" t="s">
        <v>1519</v>
      </c>
      <c r="B6" s="7">
        <v>0.06127</v>
      </c>
      <c r="C6" s="7">
        <v>100.0</v>
      </c>
      <c r="D6" s="7" t="s">
        <v>15</v>
      </c>
      <c r="E6" s="7" t="s">
        <v>1520</v>
      </c>
      <c r="F6" s="7">
        <v>2.1657</v>
      </c>
      <c r="G6" s="7">
        <v>85.71</v>
      </c>
      <c r="H6" s="7" t="s">
        <v>26</v>
      </c>
      <c r="I6" s="7" t="s">
        <v>1520</v>
      </c>
      <c r="J6" s="7">
        <v>1.55729</v>
      </c>
      <c r="K6" s="7">
        <v>85.71</v>
      </c>
      <c r="L6" s="7" t="s">
        <v>26</v>
      </c>
      <c r="M6" s="7" t="s">
        <v>1521</v>
      </c>
      <c r="O6" s="7">
        <v>89.66</v>
      </c>
      <c r="P6" s="7" t="s">
        <v>26</v>
      </c>
      <c r="Q6" s="7" t="s">
        <v>1521</v>
      </c>
      <c r="S6" s="7">
        <v>89.66</v>
      </c>
      <c r="T6" s="7" t="s">
        <v>26</v>
      </c>
      <c r="U6" s="8">
        <f>MIN(B2:B1000)</f>
        <v>0.03219</v>
      </c>
      <c r="V6" s="8">
        <f>MIN(F2:F1000)</f>
        <v>1.62604</v>
      </c>
      <c r="W6" s="8">
        <f>MIN(J2:J1000)</f>
        <v>1.55729</v>
      </c>
      <c r="X6" s="8"/>
      <c r="Y6" s="8"/>
      <c r="Z6" s="7" t="s">
        <v>24</v>
      </c>
    </row>
    <row r="7">
      <c r="A7" s="7" t="s">
        <v>1522</v>
      </c>
      <c r="B7" s="7">
        <v>0.05441</v>
      </c>
      <c r="C7" s="7">
        <v>100.0</v>
      </c>
      <c r="D7" s="7" t="s">
        <v>15</v>
      </c>
      <c r="E7" s="7" t="s">
        <v>1523</v>
      </c>
      <c r="F7" s="7">
        <v>1.88775</v>
      </c>
      <c r="G7" s="7">
        <v>64.52</v>
      </c>
      <c r="H7" s="7" t="s">
        <v>26</v>
      </c>
      <c r="I7" s="7" t="s">
        <v>1523</v>
      </c>
      <c r="J7" s="7">
        <v>1.75051</v>
      </c>
      <c r="K7" s="7">
        <v>64.52</v>
      </c>
      <c r="L7" s="7" t="s">
        <v>26</v>
      </c>
      <c r="M7" s="7" t="s">
        <v>1524</v>
      </c>
      <c r="O7" s="7">
        <v>51.43</v>
      </c>
      <c r="P7" s="7" t="s">
        <v>26</v>
      </c>
      <c r="Q7" s="7" t="s">
        <v>1525</v>
      </c>
      <c r="S7" s="7">
        <v>54.05</v>
      </c>
      <c r="T7" s="7" t="s">
        <v>26</v>
      </c>
      <c r="U7" s="8">
        <f>SUM(B2:B1000)</f>
        <v>3.99071</v>
      </c>
      <c r="V7" s="8">
        <f>SUM(F2:F1000)</f>
        <v>90.43746</v>
      </c>
      <c r="W7" s="8">
        <f>SUM(J2:J1000)</f>
        <v>96.50534</v>
      </c>
      <c r="X7" s="8">
        <f>N2</f>
        <v>5.55316</v>
      </c>
      <c r="Y7" s="8">
        <f>R2</f>
        <v>6.33615</v>
      </c>
      <c r="Z7" s="7" t="s">
        <v>28</v>
      </c>
    </row>
    <row r="8">
      <c r="A8" s="7" t="s">
        <v>1526</v>
      </c>
      <c r="B8" s="7">
        <v>0.42557</v>
      </c>
      <c r="C8" s="7">
        <v>100.0</v>
      </c>
      <c r="D8" s="7" t="s">
        <v>15</v>
      </c>
      <c r="E8" s="7" t="s">
        <v>1526</v>
      </c>
      <c r="F8" s="7">
        <v>1.62604</v>
      </c>
      <c r="G8" s="7">
        <v>100.0</v>
      </c>
      <c r="H8" s="7" t="s">
        <v>15</v>
      </c>
      <c r="I8" s="7" t="s">
        <v>1526</v>
      </c>
      <c r="J8" s="7">
        <v>1.95933</v>
      </c>
      <c r="K8" s="7">
        <v>100.0</v>
      </c>
      <c r="L8" s="7" t="s">
        <v>15</v>
      </c>
      <c r="M8" s="7" t="s">
        <v>1526</v>
      </c>
      <c r="O8" s="7">
        <v>100.0</v>
      </c>
      <c r="P8" s="7" t="s">
        <v>15</v>
      </c>
      <c r="Q8" s="7" t="s">
        <v>1526</v>
      </c>
      <c r="S8" s="7">
        <v>100.0</v>
      </c>
      <c r="T8" s="7" t="s">
        <v>15</v>
      </c>
      <c r="U8" s="7" t="s">
        <v>31</v>
      </c>
      <c r="V8" s="7" t="s">
        <v>31</v>
      </c>
      <c r="W8" s="7" t="s">
        <v>31</v>
      </c>
      <c r="X8" s="7" t="s">
        <v>31</v>
      </c>
      <c r="Y8" s="7" t="s">
        <v>31</v>
      </c>
    </row>
    <row r="9">
      <c r="A9" s="7" t="s">
        <v>1527</v>
      </c>
      <c r="B9" s="7">
        <v>0.07985</v>
      </c>
      <c r="C9" s="7">
        <v>100.0</v>
      </c>
      <c r="D9" s="7" t="s">
        <v>15</v>
      </c>
      <c r="E9" s="7" t="s">
        <v>1528</v>
      </c>
      <c r="F9" s="7">
        <v>1.89995</v>
      </c>
      <c r="G9" s="7">
        <v>100.0</v>
      </c>
      <c r="H9" s="7" t="s">
        <v>15</v>
      </c>
      <c r="I9" s="7" t="s">
        <v>1527</v>
      </c>
      <c r="J9" s="7">
        <v>1.81362</v>
      </c>
      <c r="K9" s="7">
        <v>100.0</v>
      </c>
      <c r="L9" s="7" t="s">
        <v>15</v>
      </c>
      <c r="M9" s="7" t="s">
        <v>1529</v>
      </c>
      <c r="O9" s="7">
        <v>92.31</v>
      </c>
      <c r="P9" s="7" t="s">
        <v>26</v>
      </c>
      <c r="Q9" s="7" t="s">
        <v>1528</v>
      </c>
      <c r="S9" s="7">
        <v>100.0</v>
      </c>
      <c r="T9" s="7" t="s">
        <v>15</v>
      </c>
      <c r="U9" s="9">
        <f>AVERAGE(C2:C1000)</f>
        <v>100</v>
      </c>
      <c r="V9" s="9">
        <f>AVERAGE(G2:G1000)</f>
        <v>95.51702128</v>
      </c>
      <c r="W9" s="9">
        <f>AVERAGE(K2:K1000)</f>
        <v>92.18553191</v>
      </c>
      <c r="X9" s="9">
        <f>AVERAGE(O2:O1000)</f>
        <v>91.65829787</v>
      </c>
      <c r="Y9" s="9">
        <f>AVERAGE(S2:S1000)</f>
        <v>90.24851064</v>
      </c>
      <c r="Z9" s="7" t="s">
        <v>18</v>
      </c>
    </row>
    <row r="10">
      <c r="A10" s="7" t="s">
        <v>1530</v>
      </c>
      <c r="B10" s="7">
        <v>0.0547</v>
      </c>
      <c r="C10" s="7">
        <v>100.0</v>
      </c>
      <c r="D10" s="7" t="s">
        <v>15</v>
      </c>
      <c r="E10" s="7" t="s">
        <v>1530</v>
      </c>
      <c r="F10" s="7">
        <v>1.67037</v>
      </c>
      <c r="G10" s="7">
        <v>100.0</v>
      </c>
      <c r="H10" s="7" t="s">
        <v>15</v>
      </c>
      <c r="I10" s="7" t="s">
        <v>1530</v>
      </c>
      <c r="J10" s="7">
        <v>1.69232</v>
      </c>
      <c r="K10" s="7">
        <v>100.0</v>
      </c>
      <c r="L10" s="7" t="s">
        <v>15</v>
      </c>
      <c r="M10" s="7" t="s">
        <v>1530</v>
      </c>
      <c r="O10" s="7">
        <v>100.0</v>
      </c>
      <c r="P10" s="7" t="s">
        <v>15</v>
      </c>
      <c r="Q10" s="7" t="s">
        <v>1530</v>
      </c>
      <c r="S10" s="7">
        <v>100.0</v>
      </c>
      <c r="T10" s="7" t="s">
        <v>15</v>
      </c>
      <c r="U10" s="9">
        <f>STDEV(C2:C1000)</f>
        <v>0</v>
      </c>
      <c r="V10" s="9">
        <f>STDEV(G2:G1000)</f>
        <v>8.713789151</v>
      </c>
      <c r="W10" s="9">
        <f>STDEV(K2:K1000)</f>
        <v>12.47417939</v>
      </c>
      <c r="X10" s="9">
        <f>STDEV(O2:O1000)</f>
        <v>12.28686951</v>
      </c>
      <c r="Y10" s="9">
        <f>STDEV(S2:S1000)</f>
        <v>12.80037058</v>
      </c>
      <c r="Z10" s="7" t="s">
        <v>20</v>
      </c>
    </row>
    <row r="11">
      <c r="A11" s="7" t="s">
        <v>1531</v>
      </c>
      <c r="B11" s="7">
        <v>0.05849</v>
      </c>
      <c r="C11" s="7">
        <v>100.0</v>
      </c>
      <c r="D11" s="7" t="s">
        <v>15</v>
      </c>
      <c r="E11" s="7" t="s">
        <v>1531</v>
      </c>
      <c r="F11" s="7">
        <v>1.70467</v>
      </c>
      <c r="G11" s="7">
        <v>100.0</v>
      </c>
      <c r="H11" s="7" t="s">
        <v>15</v>
      </c>
      <c r="I11" s="7" t="s">
        <v>1531</v>
      </c>
      <c r="J11" s="7">
        <v>1.64328</v>
      </c>
      <c r="K11" s="7">
        <v>100.0</v>
      </c>
      <c r="L11" s="7" t="s">
        <v>15</v>
      </c>
      <c r="M11" s="7" t="s">
        <v>1531</v>
      </c>
      <c r="O11" s="7">
        <v>100.0</v>
      </c>
      <c r="P11" s="7" t="s">
        <v>15</v>
      </c>
      <c r="Q11" s="7" t="s">
        <v>1531</v>
      </c>
      <c r="S11" s="7">
        <v>100.0</v>
      </c>
      <c r="T11" s="7" t="s">
        <v>15</v>
      </c>
      <c r="U11" s="9">
        <f>MAX(C2:C1000)</f>
        <v>100</v>
      </c>
      <c r="V11" s="9">
        <f>MAX(G2:G1000)</f>
        <v>100</v>
      </c>
      <c r="W11" s="9">
        <f>MAX(K2:K1000)</f>
        <v>100</v>
      </c>
      <c r="X11" s="9">
        <f>MAX(O2:O1000)</f>
        <v>100</v>
      </c>
      <c r="Y11" s="9">
        <f>MAX(S2:S1000)</f>
        <v>100</v>
      </c>
      <c r="Z11" s="7" t="s">
        <v>22</v>
      </c>
    </row>
    <row r="12">
      <c r="A12" s="7" t="s">
        <v>1532</v>
      </c>
      <c r="B12" s="7">
        <v>0.09476</v>
      </c>
      <c r="C12" s="7">
        <v>100.0</v>
      </c>
      <c r="D12" s="7" t="s">
        <v>15</v>
      </c>
      <c r="E12" s="7" t="s">
        <v>1533</v>
      </c>
      <c r="F12" s="7">
        <v>1.80768</v>
      </c>
      <c r="G12" s="7">
        <v>100.0</v>
      </c>
      <c r="H12" s="7" t="s">
        <v>15</v>
      </c>
      <c r="I12" s="7" t="s">
        <v>1534</v>
      </c>
      <c r="J12" s="7">
        <v>1.57943</v>
      </c>
      <c r="K12" s="7">
        <v>66.67</v>
      </c>
      <c r="L12" s="7" t="s">
        <v>26</v>
      </c>
      <c r="M12" s="7" t="s">
        <v>1534</v>
      </c>
      <c r="O12" s="7">
        <v>66.67</v>
      </c>
      <c r="P12" s="7" t="s">
        <v>26</v>
      </c>
      <c r="Q12" s="7" t="s">
        <v>1534</v>
      </c>
      <c r="S12" s="7">
        <v>66.67</v>
      </c>
      <c r="T12" s="7" t="s">
        <v>26</v>
      </c>
      <c r="U12" s="9">
        <f>MIN(C2:C1000)</f>
        <v>100</v>
      </c>
      <c r="V12" s="9">
        <f>MIN(G2:G1000)</f>
        <v>64.52</v>
      </c>
      <c r="W12" s="9">
        <f>MIN(K2:K1000)</f>
        <v>58.33</v>
      </c>
      <c r="X12" s="9">
        <f>MIN(O2:O1000)</f>
        <v>51.43</v>
      </c>
      <c r="Y12" s="9">
        <f>MIN(S2:S1000)</f>
        <v>54.05</v>
      </c>
      <c r="Z12" s="7" t="s">
        <v>24</v>
      </c>
    </row>
    <row r="13">
      <c r="A13" s="7" t="s">
        <v>1535</v>
      </c>
      <c r="B13" s="7">
        <v>0.05734</v>
      </c>
      <c r="C13" s="7">
        <v>100.0</v>
      </c>
      <c r="D13" s="7" t="s">
        <v>15</v>
      </c>
      <c r="E13" s="7" t="s">
        <v>1536</v>
      </c>
      <c r="F13" s="7">
        <v>1.971</v>
      </c>
      <c r="G13" s="7">
        <v>100.0</v>
      </c>
      <c r="H13" s="7" t="s">
        <v>15</v>
      </c>
      <c r="I13" s="7" t="s">
        <v>1535</v>
      </c>
      <c r="J13" s="7">
        <v>1.83049</v>
      </c>
      <c r="K13" s="7">
        <v>100.0</v>
      </c>
      <c r="L13" s="7" t="s">
        <v>15</v>
      </c>
      <c r="M13" s="7" t="s">
        <v>1536</v>
      </c>
      <c r="O13" s="7">
        <v>100.0</v>
      </c>
      <c r="P13" s="7" t="s">
        <v>15</v>
      </c>
      <c r="Q13" s="7" t="s">
        <v>1536</v>
      </c>
      <c r="S13" s="7">
        <v>100.0</v>
      </c>
      <c r="T13" s="7" t="s">
        <v>15</v>
      </c>
      <c r="U13" s="7" t="s">
        <v>3</v>
      </c>
      <c r="V13" s="7" t="s">
        <v>3</v>
      </c>
      <c r="W13" s="7" t="s">
        <v>3</v>
      </c>
      <c r="X13" s="7" t="s">
        <v>3</v>
      </c>
      <c r="Y13" s="7" t="s">
        <v>3</v>
      </c>
    </row>
    <row r="14">
      <c r="A14" s="7" t="s">
        <v>1537</v>
      </c>
      <c r="B14" s="7">
        <v>0.03595</v>
      </c>
      <c r="C14" s="7">
        <v>100.0</v>
      </c>
      <c r="D14" s="7" t="s">
        <v>15</v>
      </c>
      <c r="E14" s="7" t="s">
        <v>1538</v>
      </c>
      <c r="F14" s="7">
        <v>1.94504</v>
      </c>
      <c r="G14" s="7">
        <v>100.0</v>
      </c>
      <c r="H14" s="7" t="s">
        <v>15</v>
      </c>
      <c r="I14" s="7" t="s">
        <v>1537</v>
      </c>
      <c r="J14" s="7">
        <v>2.23562</v>
      </c>
      <c r="K14" s="7">
        <v>100.0</v>
      </c>
      <c r="L14" s="7" t="s">
        <v>15</v>
      </c>
      <c r="M14" s="7" t="s">
        <v>1538</v>
      </c>
      <c r="O14" s="7">
        <v>100.0</v>
      </c>
      <c r="P14" s="7" t="s">
        <v>15</v>
      </c>
      <c r="Q14" s="7" t="s">
        <v>1538</v>
      </c>
      <c r="S14" s="7">
        <v>100.0</v>
      </c>
      <c r="T14" s="7" t="s">
        <v>15</v>
      </c>
      <c r="U14" s="10">
        <f t="shared" ref="U14:Y14" si="1">U15/(U15+U16+U17)</f>
        <v>1</v>
      </c>
      <c r="V14" s="8">
        <f t="shared" si="1"/>
        <v>0.6170212766</v>
      </c>
      <c r="W14" s="8">
        <f t="shared" si="1"/>
        <v>0.6595744681</v>
      </c>
      <c r="X14" s="8">
        <f t="shared" si="1"/>
        <v>0.5957446809</v>
      </c>
      <c r="Y14" s="8">
        <f t="shared" si="1"/>
        <v>0.5744680851</v>
      </c>
      <c r="Z14" s="7" t="s">
        <v>44</v>
      </c>
    </row>
    <row r="15">
      <c r="A15" s="7" t="s">
        <v>1539</v>
      </c>
      <c r="B15" s="7">
        <v>0.03382</v>
      </c>
      <c r="C15" s="7">
        <v>100.0</v>
      </c>
      <c r="D15" s="7" t="s">
        <v>15</v>
      </c>
      <c r="E15" s="7" t="s">
        <v>1540</v>
      </c>
      <c r="F15" s="7">
        <v>1.844</v>
      </c>
      <c r="G15" s="7">
        <v>95.24</v>
      </c>
      <c r="H15" s="7" t="s">
        <v>26</v>
      </c>
      <c r="I15" s="7" t="s">
        <v>1540</v>
      </c>
      <c r="J15" s="7">
        <v>3.12206</v>
      </c>
      <c r="K15" s="7">
        <v>95.24</v>
      </c>
      <c r="L15" s="7" t="s">
        <v>26</v>
      </c>
      <c r="M15" s="7" t="s">
        <v>1540</v>
      </c>
      <c r="O15" s="7">
        <v>95.24</v>
      </c>
      <c r="P15" s="7" t="s">
        <v>26</v>
      </c>
      <c r="Q15" s="7" t="s">
        <v>1540</v>
      </c>
      <c r="S15" s="7">
        <v>95.24</v>
      </c>
      <c r="T15" s="7" t="s">
        <v>26</v>
      </c>
      <c r="U15" s="10">
        <f>COUNTIF(D2:D1000,"VALID")</f>
        <v>47</v>
      </c>
      <c r="V15" s="10">
        <f>COUNTIF(H2:H1000,"VALID")</f>
        <v>29</v>
      </c>
      <c r="W15" s="10">
        <f>COUNTIF(L2:L1000,"VALID")</f>
        <v>31</v>
      </c>
      <c r="X15" s="10">
        <f>COUNTIF(P2:P1000,"VALID")</f>
        <v>28</v>
      </c>
      <c r="Y15" s="10">
        <f>COUNTIF(T2:T1000,"VALID")</f>
        <v>27</v>
      </c>
      <c r="Z15" s="7" t="s">
        <v>47</v>
      </c>
    </row>
    <row r="16">
      <c r="A16" s="7" t="s">
        <v>1541</v>
      </c>
      <c r="B16" s="7">
        <v>0.03356</v>
      </c>
      <c r="C16" s="7">
        <v>100.0</v>
      </c>
      <c r="D16" s="7" t="s">
        <v>15</v>
      </c>
      <c r="E16" s="7" t="s">
        <v>1542</v>
      </c>
      <c r="F16" s="7">
        <v>2.00177</v>
      </c>
      <c r="G16" s="7">
        <v>100.0</v>
      </c>
      <c r="H16" s="7" t="s">
        <v>15</v>
      </c>
      <c r="I16" s="7" t="s">
        <v>1542</v>
      </c>
      <c r="J16" s="7">
        <v>2.19257</v>
      </c>
      <c r="K16" s="7">
        <v>100.0</v>
      </c>
      <c r="L16" s="7" t="s">
        <v>15</v>
      </c>
      <c r="M16" s="7" t="s">
        <v>1543</v>
      </c>
      <c r="O16" s="7">
        <v>94.74</v>
      </c>
      <c r="P16" s="7" t="s">
        <v>26</v>
      </c>
      <c r="Q16" s="7" t="s">
        <v>1543</v>
      </c>
      <c r="S16" s="7">
        <v>94.74</v>
      </c>
      <c r="T16" s="7" t="s">
        <v>26</v>
      </c>
      <c r="U16" s="10">
        <f>COUNTIF(D2:D1000,"INVALID")</f>
        <v>0</v>
      </c>
      <c r="V16" s="10">
        <f>COUNTIF(H2:H1000,"INVALID")</f>
        <v>17</v>
      </c>
      <c r="W16" s="10">
        <f>COUNTIF(L2:L1000,"INVALID")</f>
        <v>15</v>
      </c>
      <c r="X16" s="10">
        <f>COUNTIF(P2:P1000,"INVALID")</f>
        <v>19</v>
      </c>
      <c r="Y16" s="10">
        <f>COUNTIF(T2:T1000,"INVALID")</f>
        <v>20</v>
      </c>
      <c r="Z16" s="7" t="s">
        <v>50</v>
      </c>
    </row>
    <row r="17">
      <c r="A17" s="7" t="s">
        <v>1544</v>
      </c>
      <c r="B17" s="7">
        <v>0.07041</v>
      </c>
      <c r="C17" s="7">
        <v>100.0</v>
      </c>
      <c r="D17" s="7" t="s">
        <v>15</v>
      </c>
      <c r="E17" s="7" t="s">
        <v>1545</v>
      </c>
      <c r="F17" s="7">
        <v>1.87352</v>
      </c>
      <c r="G17" s="7">
        <v>100.0</v>
      </c>
      <c r="H17" s="7" t="s">
        <v>15</v>
      </c>
      <c r="I17" s="7" t="s">
        <v>1545</v>
      </c>
      <c r="J17" s="7">
        <v>3.45429</v>
      </c>
      <c r="K17" s="7">
        <v>100.0</v>
      </c>
      <c r="L17" s="7" t="s">
        <v>15</v>
      </c>
      <c r="M17" s="7" t="s">
        <v>1545</v>
      </c>
      <c r="O17" s="7">
        <v>100.0</v>
      </c>
      <c r="P17" s="7" t="s">
        <v>15</v>
      </c>
      <c r="Q17" s="7" t="s">
        <v>1545</v>
      </c>
      <c r="S17" s="7">
        <v>100.0</v>
      </c>
      <c r="T17" s="7" t="s">
        <v>15</v>
      </c>
      <c r="U17" s="10">
        <f>COUNTIF(D2:D1000,"ERROR")</f>
        <v>0</v>
      </c>
      <c r="V17" s="10">
        <f>COUNTIF(H2:H1000,"ERROR")</f>
        <v>1</v>
      </c>
      <c r="W17" s="10">
        <f>COUNTIF(L2:L1000,"ERROR")</f>
        <v>1</v>
      </c>
      <c r="X17" s="10">
        <f>COUNTIF(P2:P1000,"ERROR")</f>
        <v>0</v>
      </c>
      <c r="Y17" s="10">
        <f>COUNTIF(T2:T1000,"ERROR")</f>
        <v>0</v>
      </c>
      <c r="Z17" s="7" t="s">
        <v>53</v>
      </c>
    </row>
    <row r="18">
      <c r="A18" s="7" t="s">
        <v>1544</v>
      </c>
      <c r="B18" s="7">
        <v>0.07328</v>
      </c>
      <c r="C18" s="7">
        <v>100.0</v>
      </c>
      <c r="D18" s="7" t="s">
        <v>15</v>
      </c>
      <c r="E18" s="7" t="s">
        <v>1546</v>
      </c>
      <c r="F18" s="7">
        <v>1.94943</v>
      </c>
      <c r="G18" s="7">
        <v>66.67</v>
      </c>
      <c r="H18" s="7" t="s">
        <v>26</v>
      </c>
      <c r="I18" s="7" t="s">
        <v>1546</v>
      </c>
      <c r="J18" s="7">
        <v>2.77287</v>
      </c>
      <c r="K18" s="7">
        <v>66.67</v>
      </c>
      <c r="L18" s="7" t="s">
        <v>26</v>
      </c>
      <c r="M18" s="7" t="s">
        <v>1546</v>
      </c>
      <c r="O18" s="7">
        <v>66.67</v>
      </c>
      <c r="P18" s="7" t="s">
        <v>26</v>
      </c>
      <c r="Q18" s="7" t="s">
        <v>1546</v>
      </c>
      <c r="S18" s="7">
        <v>66.67</v>
      </c>
      <c r="T18" s="7" t="s">
        <v>26</v>
      </c>
      <c r="U18" s="11">
        <f t="shared" ref="U18:Y18" si="2">U17/(U17+U16+U15)</f>
        <v>0</v>
      </c>
      <c r="V18" s="11">
        <f t="shared" si="2"/>
        <v>0.02127659574</v>
      </c>
      <c r="W18" s="11">
        <f t="shared" si="2"/>
        <v>0.02127659574</v>
      </c>
      <c r="X18" s="11">
        <f t="shared" si="2"/>
        <v>0</v>
      </c>
      <c r="Y18" s="11">
        <f t="shared" si="2"/>
        <v>0</v>
      </c>
      <c r="Z18" s="17" t="s">
        <v>57</v>
      </c>
    </row>
    <row r="19">
      <c r="A19" s="7" t="s">
        <v>1547</v>
      </c>
      <c r="B19" s="7">
        <v>0.05083</v>
      </c>
      <c r="C19" s="7">
        <v>100.0</v>
      </c>
      <c r="D19" s="7" t="s">
        <v>15</v>
      </c>
      <c r="E19" s="7" t="s">
        <v>1548</v>
      </c>
      <c r="F19" s="7">
        <v>1.73832</v>
      </c>
      <c r="G19" s="7">
        <v>94.74</v>
      </c>
      <c r="H19" s="7" t="s">
        <v>26</v>
      </c>
      <c r="I19" s="7" t="s">
        <v>1549</v>
      </c>
      <c r="J19" s="7">
        <v>2.00008</v>
      </c>
      <c r="K19" s="7">
        <v>80.0</v>
      </c>
      <c r="L19" s="7" t="s">
        <v>26</v>
      </c>
      <c r="M19" s="7" t="s">
        <v>1548</v>
      </c>
      <c r="O19" s="7">
        <v>94.74</v>
      </c>
      <c r="P19" s="7" t="s">
        <v>26</v>
      </c>
      <c r="Q19" s="7" t="s">
        <v>1548</v>
      </c>
      <c r="S19" s="7">
        <v>94.74</v>
      </c>
      <c r="T19" s="7" t="s">
        <v>26</v>
      </c>
      <c r="U19" s="7" t="s">
        <v>61</v>
      </c>
      <c r="V19" s="7" t="s">
        <v>61</v>
      </c>
      <c r="W19" s="7" t="s">
        <v>61</v>
      </c>
      <c r="X19" s="7" t="s">
        <v>61</v>
      </c>
      <c r="Y19" s="7" t="s">
        <v>61</v>
      </c>
    </row>
    <row r="20">
      <c r="A20" s="7" t="s">
        <v>1550</v>
      </c>
      <c r="B20" s="7">
        <v>0.05184</v>
      </c>
      <c r="C20" s="7">
        <v>100.0</v>
      </c>
      <c r="D20" s="7" t="s">
        <v>15</v>
      </c>
      <c r="E20" s="7" t="s">
        <v>1551</v>
      </c>
      <c r="F20" s="7">
        <v>1.79336</v>
      </c>
      <c r="G20" s="7">
        <v>92.68</v>
      </c>
      <c r="H20" s="7" t="s">
        <v>26</v>
      </c>
      <c r="I20" s="7" t="s">
        <v>1552</v>
      </c>
      <c r="J20" s="7">
        <v>1.88333</v>
      </c>
      <c r="K20" s="7">
        <v>92.68</v>
      </c>
      <c r="L20" s="7" t="s">
        <v>26</v>
      </c>
      <c r="M20" s="7" t="s">
        <v>1551</v>
      </c>
      <c r="O20" s="7">
        <v>92.68</v>
      </c>
      <c r="P20" s="7" t="s">
        <v>26</v>
      </c>
      <c r="Q20" s="7" t="s">
        <v>1551</v>
      </c>
      <c r="S20" s="7">
        <v>92.68</v>
      </c>
      <c r="T20" s="7" t="s">
        <v>26</v>
      </c>
      <c r="U20" s="10">
        <f>COUNTIF(C2:C1000,100)/COUNTA(A2:A1000)</f>
        <v>1</v>
      </c>
      <c r="V20" s="8">
        <f>COUNTIF(G2:G1000,100)/COUNTA(E2:E1000)</f>
        <v>0.5744680851</v>
      </c>
      <c r="W20" s="8">
        <f>COUNTIF(K2:K1000,100)/COUNTA(I2:I1000)</f>
        <v>0.5744680851</v>
      </c>
      <c r="X20" s="8">
        <f>COUNTIF(O2:O1000,100)/COUNTA(M2:M1000)</f>
        <v>0.4893617021</v>
      </c>
      <c r="Y20" s="8">
        <f>COUNTIF(S2:S1000,100)/COUNTA(Q2:Q1000)</f>
        <v>0.4680851064</v>
      </c>
      <c r="Z20" s="7" t="s">
        <v>63</v>
      </c>
    </row>
    <row r="21">
      <c r="A21" s="7" t="s">
        <v>1553</v>
      </c>
      <c r="B21" s="7">
        <v>0.03237</v>
      </c>
      <c r="C21" s="7">
        <v>100.0</v>
      </c>
      <c r="D21" s="7" t="s">
        <v>15</v>
      </c>
      <c r="E21" s="7" t="s">
        <v>1554</v>
      </c>
      <c r="F21" s="7">
        <v>2.59675</v>
      </c>
      <c r="G21" s="7">
        <v>100.0</v>
      </c>
      <c r="H21" s="7" t="s">
        <v>15</v>
      </c>
      <c r="I21" s="7" t="s">
        <v>1554</v>
      </c>
      <c r="J21" s="7">
        <v>1.69238</v>
      </c>
      <c r="K21" s="7">
        <v>100.0</v>
      </c>
      <c r="L21" s="7" t="s">
        <v>15</v>
      </c>
      <c r="M21" s="7" t="s">
        <v>1554</v>
      </c>
      <c r="O21" s="7">
        <v>100.0</v>
      </c>
      <c r="P21" s="7" t="s">
        <v>15</v>
      </c>
      <c r="Q21" s="7" t="s">
        <v>1554</v>
      </c>
      <c r="S21" s="7">
        <v>100.0</v>
      </c>
      <c r="T21" s="7" t="s">
        <v>15</v>
      </c>
      <c r="U21" s="10">
        <f>COUNTIF(C2:C1000,100)</f>
        <v>47</v>
      </c>
      <c r="V21" s="10">
        <f>COUNTIF(G2:G1000,100)</f>
        <v>27</v>
      </c>
      <c r="W21" s="10">
        <f>COUNTIF(K2:K1000,100)</f>
        <v>27</v>
      </c>
      <c r="X21" s="10">
        <f>COUNTIF(O2:O1000,100)</f>
        <v>23</v>
      </c>
      <c r="Y21" s="10">
        <f>COUNTIF(S2:S1000,100)</f>
        <v>22</v>
      </c>
      <c r="Z21" s="7" t="s">
        <v>65</v>
      </c>
    </row>
    <row r="22">
      <c r="A22" s="7" t="s">
        <v>1555</v>
      </c>
      <c r="B22" s="7">
        <v>0.08498</v>
      </c>
      <c r="C22" s="7">
        <v>100.0</v>
      </c>
      <c r="D22" s="7" t="s">
        <v>15</v>
      </c>
      <c r="E22" s="7" t="s">
        <v>1556</v>
      </c>
      <c r="F22" s="7">
        <v>2.08289</v>
      </c>
      <c r="G22" s="7">
        <v>98.04</v>
      </c>
      <c r="H22" s="7" t="s">
        <v>26</v>
      </c>
      <c r="I22" s="7" t="s">
        <v>1557</v>
      </c>
      <c r="J22" s="7">
        <v>1.80171</v>
      </c>
      <c r="K22" s="7">
        <v>98.04</v>
      </c>
      <c r="L22" s="7" t="s">
        <v>26</v>
      </c>
      <c r="M22" s="7" t="s">
        <v>1556</v>
      </c>
      <c r="O22" s="7">
        <v>98.04</v>
      </c>
      <c r="P22" s="7" t="s">
        <v>26</v>
      </c>
      <c r="Q22" s="7" t="s">
        <v>1556</v>
      </c>
      <c r="S22" s="7">
        <v>98.04</v>
      </c>
      <c r="T22" s="7" t="s">
        <v>26</v>
      </c>
      <c r="U22" s="10">
        <f>COUNTA(A2:A1000)-COUNTIF(C2:C1000,100)</f>
        <v>0</v>
      </c>
      <c r="V22" s="10">
        <f>COUNTA(E2:E1000)-COUNTIF(G2:G1000,100)</f>
        <v>20</v>
      </c>
      <c r="W22" s="10">
        <f>COUNTA(I2:I1000)-COUNTIF(K2:K1000,100)</f>
        <v>20</v>
      </c>
      <c r="X22" s="10">
        <f>COUNTA(M2:M1000)-COUNTIF(O2:O1000,100)</f>
        <v>24</v>
      </c>
      <c r="Y22" s="10">
        <f>COUNTA(Q2:Q1000)-COUNTIF(S2:S1000,100)</f>
        <v>25</v>
      </c>
      <c r="Z22" s="7" t="s">
        <v>69</v>
      </c>
    </row>
    <row r="23">
      <c r="A23" s="7" t="s">
        <v>1558</v>
      </c>
      <c r="B23" s="7">
        <v>0.06041</v>
      </c>
      <c r="C23" s="7">
        <v>100.0</v>
      </c>
      <c r="D23" s="7" t="s">
        <v>15</v>
      </c>
      <c r="E23" s="7" t="s">
        <v>1559</v>
      </c>
      <c r="F23" s="7">
        <v>1.97316</v>
      </c>
      <c r="G23" s="7">
        <v>97.87</v>
      </c>
      <c r="H23" s="7" t="s">
        <v>26</v>
      </c>
      <c r="I23" s="7" t="s">
        <v>1560</v>
      </c>
      <c r="J23" s="7">
        <v>2.13141</v>
      </c>
      <c r="K23" s="7">
        <v>100.0</v>
      </c>
      <c r="L23" s="7" t="s">
        <v>15</v>
      </c>
      <c r="M23" s="7" t="s">
        <v>1559</v>
      </c>
      <c r="O23" s="7">
        <v>97.87</v>
      </c>
      <c r="P23" s="7" t="s">
        <v>26</v>
      </c>
      <c r="Q23" s="7" t="s">
        <v>1559</v>
      </c>
      <c r="S23" s="7">
        <v>97.87</v>
      </c>
      <c r="T23" s="7" t="s">
        <v>26</v>
      </c>
    </row>
    <row r="24">
      <c r="A24" s="7" t="s">
        <v>1561</v>
      </c>
      <c r="B24" s="7">
        <v>0.06858</v>
      </c>
      <c r="C24" s="7">
        <v>100.0</v>
      </c>
      <c r="D24" s="7" t="s">
        <v>15</v>
      </c>
      <c r="E24" s="7" t="s">
        <v>1562</v>
      </c>
      <c r="F24" s="7">
        <v>1.90174</v>
      </c>
      <c r="G24" s="7">
        <v>100.0</v>
      </c>
      <c r="H24" s="7" t="s">
        <v>15</v>
      </c>
      <c r="I24" s="7" t="s">
        <v>1562</v>
      </c>
      <c r="J24" s="7">
        <v>1.81055</v>
      </c>
      <c r="K24" s="7">
        <v>100.0</v>
      </c>
      <c r="L24" s="7" t="s">
        <v>15</v>
      </c>
      <c r="M24" s="7" t="s">
        <v>1562</v>
      </c>
      <c r="O24" s="7">
        <v>100.0</v>
      </c>
      <c r="P24" s="7" t="s">
        <v>15</v>
      </c>
      <c r="Q24" s="7" t="s">
        <v>1562</v>
      </c>
      <c r="S24" s="7">
        <v>100.0</v>
      </c>
      <c r="T24" s="7" t="s">
        <v>15</v>
      </c>
    </row>
    <row r="25">
      <c r="A25" s="7" t="s">
        <v>1563</v>
      </c>
      <c r="B25" s="7">
        <v>0.05591</v>
      </c>
      <c r="C25" s="7">
        <v>100.0</v>
      </c>
      <c r="D25" s="7" t="s">
        <v>15</v>
      </c>
      <c r="E25" s="7" t="s">
        <v>1564</v>
      </c>
      <c r="F25" s="7">
        <v>1.88129</v>
      </c>
      <c r="G25" s="7">
        <v>96.7</v>
      </c>
      <c r="H25" s="7" t="s">
        <v>26</v>
      </c>
      <c r="I25" s="7" t="s">
        <v>1564</v>
      </c>
      <c r="J25" s="7">
        <v>1.89693</v>
      </c>
      <c r="K25" s="7">
        <v>96.7</v>
      </c>
      <c r="L25" s="7" t="s">
        <v>26</v>
      </c>
      <c r="M25" s="7" t="s">
        <v>1565</v>
      </c>
      <c r="O25" s="7">
        <v>87.91</v>
      </c>
      <c r="P25" s="7" t="s">
        <v>26</v>
      </c>
      <c r="Q25" s="7" t="s">
        <v>1565</v>
      </c>
      <c r="S25" s="7">
        <v>87.91</v>
      </c>
      <c r="T25" s="7" t="s">
        <v>26</v>
      </c>
    </row>
    <row r="26">
      <c r="A26" s="7" t="s">
        <v>1566</v>
      </c>
      <c r="B26" s="7">
        <v>0.05752</v>
      </c>
      <c r="C26" s="7">
        <v>100.0</v>
      </c>
      <c r="D26" s="7" t="s">
        <v>15</v>
      </c>
      <c r="E26" s="7" t="s">
        <v>1567</v>
      </c>
      <c r="F26" s="7">
        <v>2.11111</v>
      </c>
      <c r="G26" s="7">
        <v>94.64</v>
      </c>
      <c r="H26" s="7" t="s">
        <v>26</v>
      </c>
      <c r="I26" s="7" t="s">
        <v>1568</v>
      </c>
      <c r="J26" s="7">
        <v>1.95266</v>
      </c>
      <c r="K26" s="7">
        <v>72.9</v>
      </c>
      <c r="L26" s="7" t="s">
        <v>26</v>
      </c>
      <c r="M26" s="7" t="s">
        <v>1569</v>
      </c>
      <c r="O26" s="7">
        <v>94.64</v>
      </c>
      <c r="P26" s="7" t="s">
        <v>26</v>
      </c>
      <c r="Q26" s="7" t="s">
        <v>1570</v>
      </c>
      <c r="S26" s="7">
        <v>82.24</v>
      </c>
      <c r="T26" s="7" t="s">
        <v>26</v>
      </c>
    </row>
    <row r="27">
      <c r="A27" s="7" t="s">
        <v>1571</v>
      </c>
      <c r="B27" s="7">
        <v>0.24351</v>
      </c>
      <c r="C27" s="7">
        <v>100.0</v>
      </c>
      <c r="D27" s="7" t="s">
        <v>15</v>
      </c>
      <c r="E27" s="7" t="s">
        <v>1572</v>
      </c>
      <c r="F27" s="7">
        <v>1.75436</v>
      </c>
      <c r="G27" s="7">
        <v>100.0</v>
      </c>
      <c r="H27" s="7" t="s">
        <v>15</v>
      </c>
      <c r="I27" s="7" t="s">
        <v>1572</v>
      </c>
      <c r="J27" s="7">
        <v>2.46849</v>
      </c>
      <c r="K27" s="7">
        <v>100.0</v>
      </c>
      <c r="L27" s="7" t="s">
        <v>15</v>
      </c>
      <c r="M27" s="7" t="s">
        <v>1573</v>
      </c>
      <c r="O27" s="7">
        <v>89.29</v>
      </c>
      <c r="P27" s="7" t="s">
        <v>26</v>
      </c>
      <c r="Q27" s="7" t="s">
        <v>1572</v>
      </c>
      <c r="S27" s="7">
        <v>100.0</v>
      </c>
      <c r="T27" s="7" t="s">
        <v>15</v>
      </c>
    </row>
    <row r="28">
      <c r="A28" s="7" t="s">
        <v>1574</v>
      </c>
      <c r="B28" s="7">
        <v>0.03487</v>
      </c>
      <c r="C28" s="7">
        <v>100.0</v>
      </c>
      <c r="D28" s="7" t="s">
        <v>15</v>
      </c>
      <c r="E28" s="7" t="s">
        <v>1574</v>
      </c>
      <c r="F28" s="7">
        <v>1.82819</v>
      </c>
      <c r="G28" s="7">
        <v>100.0</v>
      </c>
      <c r="H28" s="7" t="s">
        <v>15</v>
      </c>
      <c r="I28" s="7" t="s">
        <v>1574</v>
      </c>
      <c r="J28" s="7">
        <v>1.64769</v>
      </c>
      <c r="K28" s="7">
        <v>100.0</v>
      </c>
      <c r="L28" s="7" t="s">
        <v>15</v>
      </c>
      <c r="M28" s="7" t="s">
        <v>1574</v>
      </c>
      <c r="O28" s="7">
        <v>100.0</v>
      </c>
      <c r="P28" s="7" t="s">
        <v>15</v>
      </c>
      <c r="Q28" s="7" t="s">
        <v>1574</v>
      </c>
      <c r="S28" s="7">
        <v>100.0</v>
      </c>
      <c r="T28" s="7" t="s">
        <v>15</v>
      </c>
    </row>
    <row r="29">
      <c r="A29" s="7" t="s">
        <v>1575</v>
      </c>
      <c r="B29" s="7">
        <v>0.07485</v>
      </c>
      <c r="C29" s="7">
        <v>100.0</v>
      </c>
      <c r="D29" s="7" t="s">
        <v>15</v>
      </c>
      <c r="E29" s="7" t="s">
        <v>1575</v>
      </c>
      <c r="F29" s="7">
        <v>1.97179</v>
      </c>
      <c r="G29" s="7">
        <v>100.0</v>
      </c>
      <c r="H29" s="7" t="s">
        <v>15</v>
      </c>
      <c r="I29" s="7" t="s">
        <v>1575</v>
      </c>
      <c r="J29" s="7">
        <v>2.04423</v>
      </c>
      <c r="K29" s="7">
        <v>100.0</v>
      </c>
      <c r="L29" s="7" t="s">
        <v>15</v>
      </c>
      <c r="M29" s="7" t="s">
        <v>1575</v>
      </c>
      <c r="O29" s="7">
        <v>100.0</v>
      </c>
      <c r="P29" s="7" t="s">
        <v>15</v>
      </c>
      <c r="Q29" s="7" t="s">
        <v>1576</v>
      </c>
      <c r="S29" s="7">
        <v>75.86</v>
      </c>
      <c r="T29" s="7" t="s">
        <v>26</v>
      </c>
    </row>
    <row r="30">
      <c r="A30" s="7" t="s">
        <v>1577</v>
      </c>
      <c r="B30" s="7">
        <v>0.07082</v>
      </c>
      <c r="C30" s="7">
        <v>100.0</v>
      </c>
      <c r="D30" s="7" t="s">
        <v>15</v>
      </c>
      <c r="E30" s="7" t="s">
        <v>1578</v>
      </c>
      <c r="F30" s="7">
        <v>1.74933</v>
      </c>
      <c r="G30" s="7">
        <v>69.23</v>
      </c>
      <c r="H30" s="7" t="s">
        <v>26</v>
      </c>
      <c r="I30" s="7" t="s">
        <v>1579</v>
      </c>
      <c r="J30" s="7">
        <v>1.72992</v>
      </c>
      <c r="K30" s="7">
        <v>58.33</v>
      </c>
      <c r="L30" s="7" t="s">
        <v>99</v>
      </c>
      <c r="M30" s="7" t="s">
        <v>1578</v>
      </c>
      <c r="O30" s="7">
        <v>69.23</v>
      </c>
      <c r="P30" s="7" t="s">
        <v>26</v>
      </c>
      <c r="Q30" s="7" t="s">
        <v>1578</v>
      </c>
      <c r="S30" s="7">
        <v>69.23</v>
      </c>
      <c r="T30" s="7" t="s">
        <v>26</v>
      </c>
    </row>
    <row r="31">
      <c r="A31" s="7" t="s">
        <v>1580</v>
      </c>
      <c r="B31" s="7">
        <v>0.05891</v>
      </c>
      <c r="C31" s="7">
        <v>100.0</v>
      </c>
      <c r="D31" s="7" t="s">
        <v>15</v>
      </c>
      <c r="E31" s="7" t="s">
        <v>1580</v>
      </c>
      <c r="F31" s="7">
        <v>2.47664</v>
      </c>
      <c r="G31" s="7">
        <v>100.0</v>
      </c>
      <c r="H31" s="7" t="s">
        <v>15</v>
      </c>
      <c r="I31" s="7" t="s">
        <v>1580</v>
      </c>
      <c r="J31" s="7">
        <v>1.90063</v>
      </c>
      <c r="K31" s="7">
        <v>100.0</v>
      </c>
      <c r="L31" s="7" t="s">
        <v>15</v>
      </c>
      <c r="M31" s="7" t="s">
        <v>1580</v>
      </c>
      <c r="O31" s="7">
        <v>100.0</v>
      </c>
      <c r="P31" s="7" t="s">
        <v>15</v>
      </c>
      <c r="Q31" s="7" t="s">
        <v>1580</v>
      </c>
      <c r="S31" s="7">
        <v>100.0</v>
      </c>
      <c r="T31" s="7" t="s">
        <v>15</v>
      </c>
    </row>
    <row r="32">
      <c r="A32" s="7" t="s">
        <v>1581</v>
      </c>
      <c r="B32" s="7">
        <v>0.10675</v>
      </c>
      <c r="C32" s="7">
        <v>100.0</v>
      </c>
      <c r="D32" s="7" t="s">
        <v>15</v>
      </c>
      <c r="E32" s="7" t="s">
        <v>1581</v>
      </c>
      <c r="F32" s="7">
        <v>1.93578</v>
      </c>
      <c r="G32" s="7">
        <v>100.0</v>
      </c>
      <c r="H32" s="7" t="s">
        <v>15</v>
      </c>
      <c r="I32" s="7" t="s">
        <v>1581</v>
      </c>
      <c r="J32" s="7">
        <v>1.64472</v>
      </c>
      <c r="K32" s="7">
        <v>100.0</v>
      </c>
      <c r="L32" s="7" t="s">
        <v>15</v>
      </c>
      <c r="M32" s="7" t="s">
        <v>1581</v>
      </c>
      <c r="O32" s="7">
        <v>100.0</v>
      </c>
      <c r="P32" s="7" t="s">
        <v>15</v>
      </c>
      <c r="Q32" s="7" t="s">
        <v>1581</v>
      </c>
      <c r="S32" s="7">
        <v>100.0</v>
      </c>
      <c r="T32" s="7" t="s">
        <v>15</v>
      </c>
    </row>
    <row r="33">
      <c r="A33" s="7" t="s">
        <v>1582</v>
      </c>
      <c r="B33" s="7">
        <v>0.06967</v>
      </c>
      <c r="C33" s="7">
        <v>100.0</v>
      </c>
      <c r="D33" s="7" t="s">
        <v>15</v>
      </c>
      <c r="E33" s="7" t="s">
        <v>1583</v>
      </c>
      <c r="F33" s="7">
        <v>2.08197</v>
      </c>
      <c r="G33" s="7">
        <v>85.71</v>
      </c>
      <c r="H33" s="7" t="s">
        <v>15</v>
      </c>
      <c r="I33" s="7" t="s">
        <v>1583</v>
      </c>
      <c r="J33" s="7">
        <v>2.02173</v>
      </c>
      <c r="K33" s="7">
        <v>85.71</v>
      </c>
      <c r="L33" s="7" t="s">
        <v>15</v>
      </c>
      <c r="M33" s="7" t="s">
        <v>1583</v>
      </c>
      <c r="O33" s="7">
        <v>85.71</v>
      </c>
      <c r="P33" s="7" t="s">
        <v>15</v>
      </c>
      <c r="Q33" s="7" t="s">
        <v>1583</v>
      </c>
      <c r="S33" s="7">
        <v>85.71</v>
      </c>
      <c r="T33" s="7" t="s">
        <v>15</v>
      </c>
    </row>
    <row r="34">
      <c r="A34" s="7" t="s">
        <v>1584</v>
      </c>
      <c r="B34" s="7">
        <v>0.06814</v>
      </c>
      <c r="C34" s="7">
        <v>100.0</v>
      </c>
      <c r="D34" s="7" t="s">
        <v>15</v>
      </c>
      <c r="E34" s="7" t="s">
        <v>1585</v>
      </c>
      <c r="F34" s="7">
        <v>1.95336</v>
      </c>
      <c r="G34" s="7">
        <v>97.78</v>
      </c>
      <c r="H34" s="7" t="s">
        <v>99</v>
      </c>
      <c r="I34" s="7" t="s">
        <v>1586</v>
      </c>
      <c r="J34" s="7">
        <v>1.95544</v>
      </c>
      <c r="K34" s="7">
        <v>93.33</v>
      </c>
      <c r="L34" s="7" t="s">
        <v>26</v>
      </c>
      <c r="M34" s="7" t="s">
        <v>1587</v>
      </c>
      <c r="O34" s="7">
        <v>80.95</v>
      </c>
      <c r="P34" s="7" t="s">
        <v>26</v>
      </c>
      <c r="Q34" s="7" t="s">
        <v>1587</v>
      </c>
      <c r="S34" s="7">
        <v>80.95</v>
      </c>
      <c r="T34" s="7" t="s">
        <v>26</v>
      </c>
    </row>
    <row r="35">
      <c r="A35" s="7" t="s">
        <v>1588</v>
      </c>
      <c r="B35" s="7">
        <v>0.07045</v>
      </c>
      <c r="C35" s="7">
        <v>100.0</v>
      </c>
      <c r="D35" s="7" t="s">
        <v>15</v>
      </c>
      <c r="E35" s="7" t="s">
        <v>1589</v>
      </c>
      <c r="F35" s="7">
        <v>1.89375</v>
      </c>
      <c r="G35" s="7">
        <v>95.0</v>
      </c>
      <c r="H35" s="7" t="s">
        <v>15</v>
      </c>
      <c r="I35" s="7" t="s">
        <v>1589</v>
      </c>
      <c r="J35" s="7">
        <v>3.28555</v>
      </c>
      <c r="K35" s="7">
        <v>95.0</v>
      </c>
      <c r="L35" s="7" t="s">
        <v>15</v>
      </c>
      <c r="M35" s="7" t="s">
        <v>1590</v>
      </c>
      <c r="O35" s="7">
        <v>90.0</v>
      </c>
      <c r="P35" s="7" t="s">
        <v>15</v>
      </c>
      <c r="Q35" s="7" t="s">
        <v>1590</v>
      </c>
      <c r="S35" s="7">
        <v>90.0</v>
      </c>
      <c r="T35" s="7" t="s">
        <v>15</v>
      </c>
    </row>
    <row r="36">
      <c r="A36" s="7" t="s">
        <v>1591</v>
      </c>
      <c r="B36" s="7">
        <v>0.05287</v>
      </c>
      <c r="C36" s="7">
        <v>100.0</v>
      </c>
      <c r="D36" s="7" t="s">
        <v>15</v>
      </c>
      <c r="E36" s="7" t="s">
        <v>1592</v>
      </c>
      <c r="F36" s="7">
        <v>1.75672</v>
      </c>
      <c r="G36" s="7">
        <v>97.3</v>
      </c>
      <c r="H36" s="7" t="s">
        <v>26</v>
      </c>
      <c r="I36" s="7" t="s">
        <v>1593</v>
      </c>
      <c r="J36" s="7">
        <v>1.74964</v>
      </c>
      <c r="K36" s="7">
        <v>94.44</v>
      </c>
      <c r="L36" s="7" t="s">
        <v>15</v>
      </c>
      <c r="M36" s="7" t="s">
        <v>1594</v>
      </c>
      <c r="O36" s="7">
        <v>85.71</v>
      </c>
      <c r="P36" s="7" t="s">
        <v>15</v>
      </c>
      <c r="Q36" s="7" t="s">
        <v>1594</v>
      </c>
      <c r="S36" s="7">
        <v>85.71</v>
      </c>
      <c r="T36" s="7" t="s">
        <v>15</v>
      </c>
    </row>
    <row r="37">
      <c r="A37" s="7" t="s">
        <v>830</v>
      </c>
      <c r="B37" s="7">
        <v>0.05051</v>
      </c>
      <c r="C37" s="7">
        <v>100.0</v>
      </c>
      <c r="D37" s="7" t="s">
        <v>15</v>
      </c>
      <c r="E37" s="7" t="s">
        <v>830</v>
      </c>
      <c r="F37" s="7">
        <v>1.73263</v>
      </c>
      <c r="G37" s="7">
        <v>100.0</v>
      </c>
      <c r="H37" s="7" t="s">
        <v>15</v>
      </c>
      <c r="I37" s="7" t="s">
        <v>830</v>
      </c>
      <c r="J37" s="7">
        <v>1.81199</v>
      </c>
      <c r="K37" s="7">
        <v>100.0</v>
      </c>
      <c r="L37" s="7" t="s">
        <v>15</v>
      </c>
      <c r="M37" s="7" t="s">
        <v>1595</v>
      </c>
      <c r="O37" s="7">
        <v>70.97</v>
      </c>
      <c r="P37" s="7" t="s">
        <v>15</v>
      </c>
      <c r="Q37" s="7" t="s">
        <v>1595</v>
      </c>
      <c r="S37" s="7">
        <v>70.97</v>
      </c>
      <c r="T37" s="7" t="s">
        <v>15</v>
      </c>
    </row>
    <row r="38">
      <c r="A38" s="7" t="s">
        <v>1596</v>
      </c>
      <c r="B38" s="7">
        <v>0.04956</v>
      </c>
      <c r="C38" s="7">
        <v>100.0</v>
      </c>
      <c r="D38" s="7" t="s">
        <v>15</v>
      </c>
      <c r="E38" s="7" t="s">
        <v>1596</v>
      </c>
      <c r="F38" s="7">
        <v>2.0233</v>
      </c>
      <c r="G38" s="7">
        <v>100.0</v>
      </c>
      <c r="H38" s="7" t="s">
        <v>15</v>
      </c>
      <c r="I38" s="7" t="s">
        <v>1596</v>
      </c>
      <c r="J38" s="7">
        <v>1.80309</v>
      </c>
      <c r="K38" s="7">
        <v>100.0</v>
      </c>
      <c r="L38" s="7" t="s">
        <v>15</v>
      </c>
      <c r="M38" s="7" t="s">
        <v>1596</v>
      </c>
      <c r="O38" s="7">
        <v>100.0</v>
      </c>
      <c r="P38" s="7" t="s">
        <v>15</v>
      </c>
      <c r="Q38" s="7" t="s">
        <v>1596</v>
      </c>
      <c r="S38" s="7">
        <v>100.0</v>
      </c>
      <c r="T38" s="7" t="s">
        <v>15</v>
      </c>
    </row>
    <row r="39">
      <c r="A39" s="7" t="s">
        <v>1597</v>
      </c>
      <c r="B39" s="7">
        <v>0.0658</v>
      </c>
      <c r="C39" s="7">
        <v>100.0</v>
      </c>
      <c r="D39" s="7" t="s">
        <v>15</v>
      </c>
      <c r="E39" s="7" t="s">
        <v>1598</v>
      </c>
      <c r="F39" s="7">
        <v>1.73773</v>
      </c>
      <c r="G39" s="7">
        <v>86.96</v>
      </c>
      <c r="H39" s="7" t="s">
        <v>26</v>
      </c>
      <c r="I39" s="7" t="s">
        <v>1598</v>
      </c>
      <c r="J39" s="7">
        <v>2.12995</v>
      </c>
      <c r="K39" s="7">
        <v>86.96</v>
      </c>
      <c r="L39" s="7" t="s">
        <v>26</v>
      </c>
      <c r="M39" s="7" t="s">
        <v>1599</v>
      </c>
      <c r="O39" s="7">
        <v>78.43</v>
      </c>
      <c r="P39" s="7" t="s">
        <v>26</v>
      </c>
      <c r="Q39" s="7" t="s">
        <v>1599</v>
      </c>
      <c r="S39" s="7">
        <v>78.43</v>
      </c>
      <c r="T39" s="7" t="s">
        <v>26</v>
      </c>
    </row>
    <row r="40">
      <c r="A40" s="7" t="s">
        <v>1600</v>
      </c>
      <c r="B40" s="7">
        <v>0.152</v>
      </c>
      <c r="C40" s="7">
        <v>100.0</v>
      </c>
      <c r="D40" s="7" t="s">
        <v>15</v>
      </c>
      <c r="E40" s="7" t="s">
        <v>1601</v>
      </c>
      <c r="F40" s="7">
        <v>2.17887</v>
      </c>
      <c r="G40" s="7">
        <v>82.93</v>
      </c>
      <c r="H40" s="7" t="s">
        <v>26</v>
      </c>
      <c r="I40" s="7" t="s">
        <v>1602</v>
      </c>
      <c r="J40" s="7">
        <v>2.01832</v>
      </c>
      <c r="K40" s="7">
        <v>72.97</v>
      </c>
      <c r="L40" s="7" t="s">
        <v>26</v>
      </c>
      <c r="M40" s="7" t="s">
        <v>1603</v>
      </c>
      <c r="O40" s="7">
        <v>71.91</v>
      </c>
      <c r="P40" s="7" t="s">
        <v>26</v>
      </c>
      <c r="Q40" s="7" t="s">
        <v>1604</v>
      </c>
      <c r="S40" s="7">
        <v>71.6</v>
      </c>
      <c r="T40" s="7" t="s">
        <v>26</v>
      </c>
    </row>
    <row r="41">
      <c r="A41" s="7" t="s">
        <v>1605</v>
      </c>
      <c r="B41" s="7">
        <v>0.06392</v>
      </c>
      <c r="C41" s="7">
        <v>100.0</v>
      </c>
      <c r="D41" s="7" t="s">
        <v>15</v>
      </c>
      <c r="E41" s="7" t="s">
        <v>1606</v>
      </c>
      <c r="F41" s="7">
        <v>1.88767</v>
      </c>
      <c r="G41" s="7">
        <v>96.47</v>
      </c>
      <c r="H41" s="7" t="s">
        <v>26</v>
      </c>
      <c r="I41" s="7" t="s">
        <v>1607</v>
      </c>
      <c r="J41" s="7">
        <v>2.06493</v>
      </c>
      <c r="K41" s="7">
        <v>91.76</v>
      </c>
      <c r="L41" s="7" t="s">
        <v>26</v>
      </c>
      <c r="M41" s="7" t="s">
        <v>1608</v>
      </c>
      <c r="O41" s="7">
        <v>96.47</v>
      </c>
      <c r="P41" s="7" t="s">
        <v>26</v>
      </c>
      <c r="Q41" s="7" t="s">
        <v>1608</v>
      </c>
      <c r="S41" s="7">
        <v>96.47</v>
      </c>
      <c r="T41" s="7" t="s">
        <v>26</v>
      </c>
    </row>
    <row r="42">
      <c r="A42" s="7" t="s">
        <v>1609</v>
      </c>
      <c r="B42" s="7">
        <v>0.04403</v>
      </c>
      <c r="C42" s="7">
        <v>100.0</v>
      </c>
      <c r="D42" s="7" t="s">
        <v>15</v>
      </c>
      <c r="E42" s="7" t="s">
        <v>1610</v>
      </c>
      <c r="F42" s="7">
        <v>1.71555</v>
      </c>
      <c r="G42" s="7">
        <v>97.78</v>
      </c>
      <c r="H42" s="7" t="s">
        <v>26</v>
      </c>
      <c r="I42" s="7" t="s">
        <v>1609</v>
      </c>
      <c r="J42" s="7">
        <v>1.66596</v>
      </c>
      <c r="K42" s="7">
        <v>100.0</v>
      </c>
      <c r="L42" s="7" t="s">
        <v>15</v>
      </c>
      <c r="M42" s="7" t="s">
        <v>1611</v>
      </c>
      <c r="O42" s="7">
        <v>100.0</v>
      </c>
      <c r="P42" s="7" t="s">
        <v>15</v>
      </c>
      <c r="Q42" s="7" t="s">
        <v>1611</v>
      </c>
      <c r="S42" s="7">
        <v>100.0</v>
      </c>
      <c r="T42" s="7" t="s">
        <v>15</v>
      </c>
    </row>
    <row r="43">
      <c r="A43" s="7" t="s">
        <v>1612</v>
      </c>
      <c r="B43" s="7">
        <v>0.03219</v>
      </c>
      <c r="C43" s="7">
        <v>100.0</v>
      </c>
      <c r="D43" s="7" t="s">
        <v>15</v>
      </c>
      <c r="E43" s="7" t="s">
        <v>1613</v>
      </c>
      <c r="F43" s="7">
        <v>1.64862</v>
      </c>
      <c r="G43" s="7">
        <v>93.33</v>
      </c>
      <c r="H43" s="7" t="s">
        <v>26</v>
      </c>
      <c r="I43" s="7" t="s">
        <v>1614</v>
      </c>
      <c r="J43" s="7">
        <v>1.79974</v>
      </c>
      <c r="K43" s="7">
        <v>66.67</v>
      </c>
      <c r="L43" s="7" t="s">
        <v>15</v>
      </c>
      <c r="M43" s="7" t="s">
        <v>1615</v>
      </c>
      <c r="O43" s="7">
        <v>66.67</v>
      </c>
      <c r="P43" s="7" t="s">
        <v>15</v>
      </c>
      <c r="Q43" s="7" t="s">
        <v>1615</v>
      </c>
      <c r="S43" s="7">
        <v>66.67</v>
      </c>
      <c r="T43" s="7" t="s">
        <v>15</v>
      </c>
    </row>
    <row r="44">
      <c r="A44" s="7" t="s">
        <v>1616</v>
      </c>
      <c r="B44" s="7">
        <v>0.07338</v>
      </c>
      <c r="C44" s="7">
        <v>100.0</v>
      </c>
      <c r="D44" s="7" t="s">
        <v>15</v>
      </c>
      <c r="E44" s="7" t="s">
        <v>1616</v>
      </c>
      <c r="F44" s="7">
        <v>1.71841</v>
      </c>
      <c r="G44" s="7">
        <v>100.0</v>
      </c>
      <c r="H44" s="7" t="s">
        <v>15</v>
      </c>
      <c r="I44" s="7" t="s">
        <v>1616</v>
      </c>
      <c r="J44" s="7">
        <v>1.75158</v>
      </c>
      <c r="K44" s="7">
        <v>100.0</v>
      </c>
      <c r="L44" s="7" t="s">
        <v>15</v>
      </c>
      <c r="M44" s="7" t="s">
        <v>1616</v>
      </c>
      <c r="O44" s="7">
        <v>100.0</v>
      </c>
      <c r="P44" s="7" t="s">
        <v>15</v>
      </c>
      <c r="Q44" s="7" t="s">
        <v>1616</v>
      </c>
      <c r="S44" s="7">
        <v>100.0</v>
      </c>
      <c r="T44" s="7" t="s">
        <v>15</v>
      </c>
    </row>
    <row r="45">
      <c r="A45" s="7" t="s">
        <v>1617</v>
      </c>
      <c r="B45" s="7">
        <v>0.05498</v>
      </c>
      <c r="C45" s="7">
        <v>100.0</v>
      </c>
      <c r="D45" s="7" t="s">
        <v>15</v>
      </c>
      <c r="E45" s="7" t="s">
        <v>1617</v>
      </c>
      <c r="F45" s="7">
        <v>1.74913</v>
      </c>
      <c r="G45" s="7">
        <v>100.0</v>
      </c>
      <c r="H45" s="7" t="s">
        <v>15</v>
      </c>
      <c r="I45" s="7" t="s">
        <v>1617</v>
      </c>
      <c r="J45" s="7">
        <v>2.24499</v>
      </c>
      <c r="K45" s="7">
        <v>100.0</v>
      </c>
      <c r="L45" s="7" t="s">
        <v>15</v>
      </c>
      <c r="M45" s="7" t="s">
        <v>1617</v>
      </c>
      <c r="O45" s="7">
        <v>100.0</v>
      </c>
      <c r="P45" s="7" t="s">
        <v>15</v>
      </c>
      <c r="Q45" s="7" t="s">
        <v>1617</v>
      </c>
      <c r="S45" s="7">
        <v>100.0</v>
      </c>
      <c r="T45" s="7" t="s">
        <v>15</v>
      </c>
    </row>
    <row r="46">
      <c r="A46" s="7" t="s">
        <v>1618</v>
      </c>
      <c r="B46" s="7">
        <v>0.25518</v>
      </c>
      <c r="C46" s="7">
        <v>100.0</v>
      </c>
      <c r="D46" s="7" t="s">
        <v>15</v>
      </c>
      <c r="E46" s="7" t="s">
        <v>1619</v>
      </c>
      <c r="F46" s="7">
        <v>1.70998</v>
      </c>
      <c r="G46" s="7">
        <v>100.0</v>
      </c>
      <c r="H46" s="7" t="s">
        <v>15</v>
      </c>
      <c r="I46" s="7" t="s">
        <v>1619</v>
      </c>
      <c r="J46" s="7">
        <v>4.71545</v>
      </c>
      <c r="K46" s="7">
        <v>100.0</v>
      </c>
      <c r="L46" s="7" t="s">
        <v>15</v>
      </c>
      <c r="M46" s="7" t="s">
        <v>1619</v>
      </c>
      <c r="O46" s="7">
        <v>100.0</v>
      </c>
      <c r="P46" s="7" t="s">
        <v>15</v>
      </c>
      <c r="Q46" s="7" t="s">
        <v>1619</v>
      </c>
      <c r="S46" s="7">
        <v>100.0</v>
      </c>
      <c r="T46" s="7" t="s">
        <v>15</v>
      </c>
    </row>
    <row r="47">
      <c r="A47" s="7" t="s">
        <v>1620</v>
      </c>
      <c r="B47" s="7">
        <v>0.0889</v>
      </c>
      <c r="C47" s="7">
        <v>100.0</v>
      </c>
      <c r="D47" s="7" t="s">
        <v>15</v>
      </c>
      <c r="E47" s="7" t="s">
        <v>1620</v>
      </c>
      <c r="F47" s="7">
        <v>2.18321</v>
      </c>
      <c r="G47" s="7">
        <v>100.0</v>
      </c>
      <c r="H47" s="7" t="s">
        <v>15</v>
      </c>
      <c r="I47" s="7" t="s">
        <v>1620</v>
      </c>
      <c r="J47" s="7">
        <v>2.46958</v>
      </c>
      <c r="K47" s="7">
        <v>100.0</v>
      </c>
      <c r="L47" s="7" t="s">
        <v>15</v>
      </c>
      <c r="M47" s="7" t="s">
        <v>1620</v>
      </c>
      <c r="O47" s="7">
        <v>100.0</v>
      </c>
      <c r="P47" s="7" t="s">
        <v>15</v>
      </c>
      <c r="Q47" s="7" t="s">
        <v>1620</v>
      </c>
      <c r="S47" s="7">
        <v>100.0</v>
      </c>
      <c r="T47" s="7" t="s">
        <v>15</v>
      </c>
    </row>
    <row r="48">
      <c r="A48" s="7" t="s">
        <v>1621</v>
      </c>
      <c r="B48" s="7">
        <v>0.10198</v>
      </c>
      <c r="C48" s="7">
        <v>100.0</v>
      </c>
      <c r="D48" s="7" t="s">
        <v>15</v>
      </c>
      <c r="E48" s="7" t="s">
        <v>1621</v>
      </c>
      <c r="F48" s="7">
        <v>3.08385</v>
      </c>
      <c r="G48" s="7">
        <v>100.0</v>
      </c>
      <c r="H48" s="7" t="s">
        <v>15</v>
      </c>
      <c r="I48" s="7" t="s">
        <v>1621</v>
      </c>
      <c r="J48" s="7">
        <v>2.0482</v>
      </c>
      <c r="K48" s="7">
        <v>100.0</v>
      </c>
      <c r="L48" s="7" t="s">
        <v>15</v>
      </c>
      <c r="M48" s="7" t="s">
        <v>1621</v>
      </c>
      <c r="O48" s="7">
        <v>100.0</v>
      </c>
      <c r="P48" s="7" t="s">
        <v>15</v>
      </c>
      <c r="Q48" s="7" t="s">
        <v>1622</v>
      </c>
      <c r="S48" s="7">
        <v>80.0</v>
      </c>
      <c r="T48" s="7" t="s">
        <v>26</v>
      </c>
    </row>
    <row r="49">
      <c r="E49" s="7"/>
      <c r="M49" s="7"/>
    </row>
    <row r="50">
      <c r="E50" s="7"/>
    </row>
    <row r="52">
      <c r="M52" s="7"/>
      <c r="Q52" s="7"/>
    </row>
    <row r="54">
      <c r="M54" s="7"/>
    </row>
    <row r="55">
      <c r="M55" s="7"/>
    </row>
    <row r="57">
      <c r="E57" s="7"/>
      <c r="M57" s="7"/>
    </row>
    <row r="63">
      <c r="A63" s="7"/>
    </row>
    <row r="64">
      <c r="A64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14.38"/>
    <col customWidth="1" min="3" max="3" width="16.38"/>
    <col customWidth="1" min="4" max="4" width="63.5"/>
    <col customWidth="1" min="5" max="5" width="48.75"/>
    <col customWidth="1" min="6" max="6" width="14.38"/>
    <col customWidth="1" min="8" max="8" width="63.5"/>
    <col customWidth="1" min="9" max="9" width="49.25"/>
    <col customWidth="1" min="10" max="10" width="14.38"/>
    <col customWidth="1" min="12" max="12" width="63.88"/>
    <col customWidth="1" min="13" max="13" width="48.5"/>
    <col customWidth="1" min="14" max="14" width="14.38"/>
    <col customWidth="1" min="16" max="16" width="55.25"/>
    <col customWidth="1" min="17" max="17" width="49.38"/>
    <col customWidth="1" min="18" max="18" width="14.38"/>
    <col customWidth="1" min="20" max="20" width="61.88"/>
    <col customWidth="1" min="21" max="21" width="15.5"/>
    <col customWidth="1" min="22" max="22" width="22.5"/>
    <col customWidth="1" min="23" max="23" width="24.38"/>
    <col customWidth="1" min="24" max="24" width="22.5"/>
    <col customWidth="1" min="25" max="25" width="24.25"/>
    <col customWidth="1" min="26" max="26" width="7.88"/>
  </cols>
  <sheetData>
    <row r="1">
      <c r="A1" s="1" t="s">
        <v>0</v>
      </c>
      <c r="B1" s="1" t="s">
        <v>1</v>
      </c>
      <c r="C1" s="1" t="s">
        <v>1623</v>
      </c>
      <c r="D1" s="1" t="s">
        <v>1624</v>
      </c>
      <c r="E1" s="2" t="s">
        <v>4</v>
      </c>
      <c r="F1" s="2" t="s">
        <v>1</v>
      </c>
      <c r="G1" s="2" t="s">
        <v>1623</v>
      </c>
      <c r="H1" s="2" t="s">
        <v>1624</v>
      </c>
      <c r="I1" s="3" t="s">
        <v>5</v>
      </c>
      <c r="J1" s="3" t="s">
        <v>1</v>
      </c>
      <c r="K1" s="3" t="s">
        <v>1623</v>
      </c>
      <c r="L1" s="3" t="s">
        <v>1624</v>
      </c>
      <c r="M1" s="4" t="s">
        <v>6</v>
      </c>
      <c r="N1" s="4" t="s">
        <v>1</v>
      </c>
      <c r="O1" s="4" t="s">
        <v>1623</v>
      </c>
      <c r="P1" s="4" t="s">
        <v>1624</v>
      </c>
      <c r="Q1" s="5" t="s">
        <v>7</v>
      </c>
      <c r="R1" s="5" t="s">
        <v>1</v>
      </c>
      <c r="S1" s="5" t="s">
        <v>1623</v>
      </c>
      <c r="T1" s="5" t="s">
        <v>1624</v>
      </c>
      <c r="U1" s="6" t="s">
        <v>8</v>
      </c>
      <c r="V1" s="6" t="s">
        <v>9</v>
      </c>
      <c r="W1" s="6" t="s">
        <v>10</v>
      </c>
      <c r="X1" s="6" t="s">
        <v>11</v>
      </c>
      <c r="Y1" s="6" t="s">
        <v>12</v>
      </c>
      <c r="Z1" s="6" t="s">
        <v>13</v>
      </c>
    </row>
    <row r="2">
      <c r="A2" s="7" t="s">
        <v>1625</v>
      </c>
      <c r="B2" s="7">
        <v>0.07217</v>
      </c>
      <c r="E2" s="7" t="s">
        <v>1625</v>
      </c>
      <c r="F2" s="7">
        <v>1.75431</v>
      </c>
      <c r="I2" s="7" t="s">
        <v>1625</v>
      </c>
      <c r="J2" s="7">
        <v>1.6739</v>
      </c>
      <c r="M2" s="7" t="s">
        <v>1625</v>
      </c>
      <c r="N2" s="7">
        <v>9.96815</v>
      </c>
      <c r="Q2" s="7" t="s">
        <v>1626</v>
      </c>
      <c r="R2" s="7">
        <v>9.12188</v>
      </c>
      <c r="U2" s="7" t="s">
        <v>16</v>
      </c>
      <c r="V2" s="7" t="s">
        <v>16</v>
      </c>
      <c r="W2" s="7" t="s">
        <v>16</v>
      </c>
      <c r="X2" s="7" t="s">
        <v>16</v>
      </c>
      <c r="Y2" s="7" t="s">
        <v>16</v>
      </c>
    </row>
    <row r="3">
      <c r="A3" s="7" t="s">
        <v>75</v>
      </c>
      <c r="B3" s="7">
        <v>0.06936</v>
      </c>
      <c r="E3" s="7" t="s">
        <v>75</v>
      </c>
      <c r="F3" s="7">
        <v>2.67135</v>
      </c>
      <c r="I3" s="7" t="s">
        <v>75</v>
      </c>
      <c r="J3" s="7">
        <v>1.77597</v>
      </c>
      <c r="M3" s="7" t="s">
        <v>75</v>
      </c>
      <c r="Q3" s="7" t="s">
        <v>75</v>
      </c>
      <c r="U3" s="8">
        <f>AVERAGE(B2:B1000)</f>
        <v>0.05375192308</v>
      </c>
      <c r="V3" s="8">
        <f>AVERAGE(F2:F1000)</f>
        <v>1.866977404</v>
      </c>
      <c r="W3" s="8">
        <f>AVERAGE(J2:J1000)</f>
        <v>1.940499904</v>
      </c>
      <c r="X3" s="8">
        <f>N2/COUNTA(M2:M1000)</f>
        <v>0.09584759615</v>
      </c>
      <c r="Y3" s="8">
        <f>R2/COUNTA(Q2:Q1000)</f>
        <v>0.08771038462</v>
      </c>
      <c r="Z3" s="7" t="s">
        <v>18</v>
      </c>
    </row>
    <row r="4">
      <c r="A4" s="7" t="s">
        <v>1627</v>
      </c>
      <c r="B4" s="7">
        <v>0.07067</v>
      </c>
      <c r="C4" s="7" t="b">
        <v>1</v>
      </c>
      <c r="D4" s="7" t="s">
        <v>1628</v>
      </c>
      <c r="E4" s="7" t="s">
        <v>1627</v>
      </c>
      <c r="F4" s="7">
        <v>1.53308</v>
      </c>
      <c r="G4" s="7" t="b">
        <v>1</v>
      </c>
      <c r="H4" s="7" t="s">
        <v>1629</v>
      </c>
      <c r="I4" s="7" t="s">
        <v>1627</v>
      </c>
      <c r="J4" s="7">
        <v>1.70353</v>
      </c>
      <c r="K4" s="7" t="b">
        <v>1</v>
      </c>
      <c r="L4" s="7" t="s">
        <v>1629</v>
      </c>
      <c r="M4" s="7" t="s">
        <v>1627</v>
      </c>
      <c r="O4" s="7" t="b">
        <v>1</v>
      </c>
      <c r="P4" s="7" t="s">
        <v>1629</v>
      </c>
      <c r="Q4" s="7" t="s">
        <v>1630</v>
      </c>
      <c r="S4" s="7" t="b">
        <v>1</v>
      </c>
      <c r="T4" s="7" t="s">
        <v>1628</v>
      </c>
      <c r="U4" s="8">
        <f>STDEV(B2:B1000)</f>
        <v>0.01996546125</v>
      </c>
      <c r="V4" s="8">
        <f>STDEV(F2:F1000)</f>
        <v>0.4308989509</v>
      </c>
      <c r="W4" s="8">
        <f>STDEV(J2:J1000)</f>
        <v>0.7133813347</v>
      </c>
      <c r="X4" s="8"/>
      <c r="Y4" s="8"/>
      <c r="Z4" s="7" t="s">
        <v>20</v>
      </c>
    </row>
    <row r="5">
      <c r="A5" s="7" t="s">
        <v>1631</v>
      </c>
      <c r="B5" s="7">
        <v>0.06807</v>
      </c>
      <c r="E5" s="7" t="s">
        <v>1632</v>
      </c>
      <c r="F5" s="7">
        <v>1.92991</v>
      </c>
      <c r="I5" s="7" t="s">
        <v>1633</v>
      </c>
      <c r="J5" s="7">
        <v>1.58241</v>
      </c>
      <c r="M5" s="7" t="s">
        <v>1634</v>
      </c>
      <c r="Q5" s="7" t="s">
        <v>1633</v>
      </c>
      <c r="U5" s="8">
        <f>MAX(B2:B1000)</f>
        <v>0.10433</v>
      </c>
      <c r="V5" s="8">
        <f>MAX(F2:F1000)</f>
        <v>4.89332</v>
      </c>
      <c r="W5" s="8">
        <f>MAX(J2:J1000)</f>
        <v>6.34834</v>
      </c>
      <c r="X5" s="8"/>
      <c r="Y5" s="8"/>
      <c r="Z5" s="7" t="s">
        <v>22</v>
      </c>
    </row>
    <row r="6">
      <c r="A6" s="7" t="s">
        <v>1635</v>
      </c>
      <c r="B6" s="7">
        <v>0.07536</v>
      </c>
      <c r="E6" s="7" t="s">
        <v>1635</v>
      </c>
      <c r="F6" s="7">
        <v>1.68077</v>
      </c>
      <c r="I6" s="7" t="s">
        <v>1635</v>
      </c>
      <c r="J6" s="7">
        <v>1.71081</v>
      </c>
      <c r="M6" s="7" t="s">
        <v>1636</v>
      </c>
      <c r="Q6" s="7" t="s">
        <v>1637</v>
      </c>
      <c r="U6" s="8">
        <f>MIN(B2:B1000)</f>
        <v>0.02838</v>
      </c>
      <c r="V6" s="8">
        <f>MIN(F2:F1000)</f>
        <v>1.52528</v>
      </c>
      <c r="W6" s="8">
        <f>MIN(J2:J1000)</f>
        <v>1.46142</v>
      </c>
      <c r="X6" s="8"/>
      <c r="Y6" s="8"/>
      <c r="Z6" s="7" t="s">
        <v>24</v>
      </c>
    </row>
    <row r="7">
      <c r="A7" s="7" t="s">
        <v>1638</v>
      </c>
      <c r="B7" s="7">
        <v>0.09871</v>
      </c>
      <c r="C7" s="7" t="b">
        <v>1</v>
      </c>
      <c r="D7" s="7" t="s">
        <v>1628</v>
      </c>
      <c r="E7" s="7" t="s">
        <v>1639</v>
      </c>
      <c r="F7" s="7">
        <v>1.64639</v>
      </c>
      <c r="G7" s="7" t="b">
        <v>0</v>
      </c>
      <c r="H7" s="7" t="s">
        <v>1640</v>
      </c>
      <c r="I7" s="7" t="s">
        <v>1638</v>
      </c>
      <c r="J7" s="7">
        <v>1.99479</v>
      </c>
      <c r="K7" s="7" t="b">
        <v>1</v>
      </c>
      <c r="L7" s="7" t="s">
        <v>1629</v>
      </c>
      <c r="M7" s="7" t="s">
        <v>1641</v>
      </c>
      <c r="O7" s="7" t="b">
        <v>1</v>
      </c>
      <c r="P7" s="7" t="s">
        <v>1629</v>
      </c>
      <c r="Q7" s="7" t="s">
        <v>1642</v>
      </c>
      <c r="S7" s="7" t="b">
        <v>1</v>
      </c>
      <c r="T7" s="7" t="s">
        <v>1629</v>
      </c>
      <c r="U7" s="8">
        <f>SUM(B2:B1000)</f>
        <v>5.5902</v>
      </c>
      <c r="V7" s="8">
        <f>SUM(F2:F1000)</f>
        <v>194.16565</v>
      </c>
      <c r="W7" s="8">
        <f>SUM(J2:J1000)</f>
        <v>201.81199</v>
      </c>
      <c r="X7" s="8">
        <f>N2</f>
        <v>9.96815</v>
      </c>
      <c r="Y7" s="8">
        <f>R2</f>
        <v>9.12188</v>
      </c>
      <c r="Z7" s="7" t="s">
        <v>28</v>
      </c>
    </row>
    <row r="8">
      <c r="A8" s="7" t="s">
        <v>624</v>
      </c>
      <c r="B8" s="7">
        <v>0.0486</v>
      </c>
      <c r="C8" s="7" t="b">
        <v>0</v>
      </c>
      <c r="E8" s="7" t="s">
        <v>1643</v>
      </c>
      <c r="F8" s="7">
        <v>2.12934</v>
      </c>
      <c r="G8" s="7" t="b">
        <v>0</v>
      </c>
      <c r="H8" s="7" t="s">
        <v>1640</v>
      </c>
      <c r="I8" s="7" t="s">
        <v>1644</v>
      </c>
      <c r="J8" s="7">
        <v>1.66193</v>
      </c>
      <c r="K8" s="7" t="b">
        <v>1</v>
      </c>
      <c r="L8" s="7" t="s">
        <v>1645</v>
      </c>
      <c r="M8" s="7" t="s">
        <v>1646</v>
      </c>
      <c r="O8" s="7" t="b">
        <v>1</v>
      </c>
      <c r="P8" s="7" t="s">
        <v>1647</v>
      </c>
      <c r="Q8" s="7" t="s">
        <v>1648</v>
      </c>
      <c r="S8" s="7" t="b">
        <v>1</v>
      </c>
      <c r="T8" s="7" t="s">
        <v>1645</v>
      </c>
      <c r="U8" s="7" t="s">
        <v>1623</v>
      </c>
      <c r="V8" s="7" t="s">
        <v>1623</v>
      </c>
      <c r="W8" s="7" t="s">
        <v>1623</v>
      </c>
      <c r="X8" s="7" t="s">
        <v>1623</v>
      </c>
      <c r="Y8" s="7" t="s">
        <v>1623</v>
      </c>
    </row>
    <row r="9">
      <c r="A9" s="7" t="s">
        <v>1649</v>
      </c>
      <c r="B9" s="7">
        <v>0.07463</v>
      </c>
      <c r="E9" s="7" t="s">
        <v>1649</v>
      </c>
      <c r="F9" s="7">
        <v>1.7202</v>
      </c>
      <c r="I9" s="7" t="s">
        <v>1649</v>
      </c>
      <c r="J9" s="7">
        <v>2.10242</v>
      </c>
      <c r="M9" s="7" t="s">
        <v>1649</v>
      </c>
      <c r="Q9" s="7" t="s">
        <v>1649</v>
      </c>
      <c r="U9" s="8">
        <f>COUNTIF(C2:C1000, TRUE)/(COUNTIF(C2:C1000, TRUE)+COUNTIF(C2:C1000, FALSE))</f>
        <v>0.8837209302</v>
      </c>
      <c r="V9" s="8">
        <f>COUNTIF(G2:G1000, TRUE)/(COUNTIF(G2:G1000, TRUE)+COUNTIF(G2:G1000, FALSE))</f>
        <v>0.3255813953</v>
      </c>
      <c r="W9" s="8">
        <f>COUNTIF(K2:K1000, TRUE)/(COUNTIF(K2:K1000, TRUE)+COUNTIF(K2:K1000, FALSE))</f>
        <v>0.5348837209</v>
      </c>
      <c r="X9" s="20">
        <f>COUNTIF(O2:O1000, TRUE)/(COUNTIF(O2:O1000, TRUE)+COUNTIF(O2:O1000, FALSE))</f>
        <v>0.7441860465</v>
      </c>
      <c r="Y9" s="20">
        <f>COUNTIF(S2:S1000, TRUE)/(COUNTIF(S2:S1000, TRUE)+COUNTIF(S2:S1000, FALSE))</f>
        <v>0.9534883721</v>
      </c>
      <c r="Z9" s="7" t="s">
        <v>1650</v>
      </c>
    </row>
    <row r="10">
      <c r="A10" s="7" t="s">
        <v>1651</v>
      </c>
      <c r="B10" s="7">
        <v>0.03921</v>
      </c>
      <c r="E10" s="7" t="s">
        <v>1651</v>
      </c>
      <c r="F10" s="7">
        <v>1.80543</v>
      </c>
      <c r="I10" s="7" t="s">
        <v>1651</v>
      </c>
      <c r="J10" s="7">
        <v>1.56543</v>
      </c>
      <c r="M10" s="7" t="s">
        <v>1651</v>
      </c>
      <c r="Q10" s="7" t="s">
        <v>1651</v>
      </c>
      <c r="U10" s="10">
        <f>COUNTIF(C2:C1000, TRUE)</f>
        <v>38</v>
      </c>
      <c r="V10" s="10">
        <f>COUNTIF(G2:G1000, TRUE)</f>
        <v>14</v>
      </c>
      <c r="W10" s="10">
        <f>COUNTIF(K2:K1000, TRUE)</f>
        <v>23</v>
      </c>
      <c r="X10" s="21">
        <f>COUNTIF(O2:O1000, TRUE)</f>
        <v>32</v>
      </c>
      <c r="Y10" s="21">
        <f>COUNTIF(S2:S1000, TRUE)</f>
        <v>41</v>
      </c>
      <c r="Z10" s="7" t="b">
        <v>1</v>
      </c>
    </row>
    <row r="11">
      <c r="A11" s="7" t="s">
        <v>1652</v>
      </c>
      <c r="B11" s="7">
        <v>0.03272</v>
      </c>
      <c r="C11" s="7" t="b">
        <v>1</v>
      </c>
      <c r="D11" s="7" t="s">
        <v>1629</v>
      </c>
      <c r="E11" s="7" t="s">
        <v>1652</v>
      </c>
      <c r="F11" s="7">
        <v>3.49898</v>
      </c>
      <c r="G11" s="7" t="b">
        <v>1</v>
      </c>
      <c r="H11" s="7" t="s">
        <v>1629</v>
      </c>
      <c r="I11" s="7" t="s">
        <v>1652</v>
      </c>
      <c r="J11" s="7">
        <v>1.72979</v>
      </c>
      <c r="K11" s="7" t="b">
        <v>1</v>
      </c>
      <c r="L11" s="7" t="s">
        <v>1629</v>
      </c>
      <c r="M11" s="7" t="s">
        <v>1652</v>
      </c>
      <c r="O11" s="7" t="b">
        <v>1</v>
      </c>
      <c r="P11" s="7" t="s">
        <v>1629</v>
      </c>
      <c r="Q11" s="7" t="s">
        <v>1652</v>
      </c>
      <c r="S11" s="7" t="b">
        <v>1</v>
      </c>
      <c r="T11" s="7" t="s">
        <v>1629</v>
      </c>
      <c r="U11" s="10">
        <f>COUNTIF(C2:C1000, FALSE)</f>
        <v>5</v>
      </c>
      <c r="V11" s="10">
        <f>COUNTIF(G2:G1000, FALSE)</f>
        <v>29</v>
      </c>
      <c r="W11" s="10">
        <f>COUNTIF(K2:K1000, FALSE)</f>
        <v>20</v>
      </c>
      <c r="X11" s="21">
        <f>COUNTIF(O2:O1000, FALSE)</f>
        <v>11</v>
      </c>
      <c r="Y11" s="21">
        <f>COUNTIF(S2:S1000, FALSE)</f>
        <v>2</v>
      </c>
      <c r="Z11" s="7" t="b">
        <v>0</v>
      </c>
    </row>
    <row r="12">
      <c r="A12" s="7" t="s">
        <v>1653</v>
      </c>
      <c r="B12" s="7">
        <v>0.03463</v>
      </c>
      <c r="C12" s="7" t="b">
        <v>1</v>
      </c>
      <c r="D12" s="7" t="s">
        <v>1654</v>
      </c>
      <c r="E12" s="7" t="s">
        <v>1655</v>
      </c>
      <c r="F12" s="7">
        <v>1.67128</v>
      </c>
      <c r="G12" s="7" t="b">
        <v>1</v>
      </c>
      <c r="H12" s="7" t="s">
        <v>1656</v>
      </c>
      <c r="I12" s="7" t="s">
        <v>1655</v>
      </c>
      <c r="J12" s="7">
        <v>1.71026</v>
      </c>
      <c r="K12" s="7" t="b">
        <v>1</v>
      </c>
      <c r="L12" s="7" t="s">
        <v>1656</v>
      </c>
      <c r="M12" s="7" t="s">
        <v>1655</v>
      </c>
      <c r="O12" s="7" t="b">
        <v>1</v>
      </c>
      <c r="P12" s="7" t="s">
        <v>1656</v>
      </c>
      <c r="Q12" s="7" t="s">
        <v>1657</v>
      </c>
      <c r="S12" s="7" t="b">
        <v>1</v>
      </c>
      <c r="T12" s="7" t="s">
        <v>1654</v>
      </c>
      <c r="X12" s="21"/>
      <c r="Y12" s="21"/>
    </row>
    <row r="13">
      <c r="A13" s="7" t="s">
        <v>1658</v>
      </c>
      <c r="B13" s="7">
        <v>0.06458</v>
      </c>
      <c r="E13" s="7" t="s">
        <v>1659</v>
      </c>
      <c r="F13" s="7">
        <v>1.76173</v>
      </c>
      <c r="I13" s="7" t="s">
        <v>1659</v>
      </c>
      <c r="J13" s="7">
        <v>1.6607</v>
      </c>
      <c r="M13" s="7" t="s">
        <v>1659</v>
      </c>
      <c r="Q13" s="7" t="s">
        <v>1659</v>
      </c>
    </row>
    <row r="14">
      <c r="A14" s="7" t="s">
        <v>1660</v>
      </c>
      <c r="B14" s="7">
        <v>0.06615</v>
      </c>
      <c r="E14" s="7" t="s">
        <v>1661</v>
      </c>
      <c r="F14" s="7">
        <v>1.97253</v>
      </c>
      <c r="I14" s="7" t="s">
        <v>1662</v>
      </c>
      <c r="J14" s="7">
        <v>1.52985</v>
      </c>
      <c r="M14" s="7" t="s">
        <v>1663</v>
      </c>
      <c r="Q14" s="7" t="s">
        <v>1664</v>
      </c>
    </row>
    <row r="15">
      <c r="A15" s="7" t="s">
        <v>1665</v>
      </c>
      <c r="B15" s="7">
        <v>0.03221</v>
      </c>
      <c r="C15" s="7" t="b">
        <v>1</v>
      </c>
      <c r="D15" s="7" t="s">
        <v>1629</v>
      </c>
      <c r="E15" s="7" t="s">
        <v>1665</v>
      </c>
      <c r="F15" s="7">
        <v>1.9066</v>
      </c>
      <c r="G15" s="7" t="b">
        <v>1</v>
      </c>
      <c r="H15" s="7" t="s">
        <v>1629</v>
      </c>
      <c r="I15" s="7" t="s">
        <v>1665</v>
      </c>
      <c r="J15" s="7">
        <v>1.67622</v>
      </c>
      <c r="K15" s="7" t="b">
        <v>1</v>
      </c>
      <c r="L15" s="7" t="s">
        <v>1629</v>
      </c>
      <c r="M15" s="7" t="s">
        <v>1665</v>
      </c>
      <c r="O15" s="7" t="b">
        <v>1</v>
      </c>
      <c r="P15" s="7" t="s">
        <v>1629</v>
      </c>
      <c r="Q15" s="7" t="s">
        <v>1665</v>
      </c>
      <c r="S15" s="7" t="b">
        <v>1</v>
      </c>
      <c r="T15" s="7" t="s">
        <v>1629</v>
      </c>
    </row>
    <row r="16">
      <c r="A16" s="7" t="s">
        <v>1666</v>
      </c>
      <c r="B16" s="7">
        <v>0.03797</v>
      </c>
      <c r="C16" s="7" t="b">
        <v>1</v>
      </c>
      <c r="D16" s="7" t="s">
        <v>1667</v>
      </c>
      <c r="E16" s="7" t="s">
        <v>1668</v>
      </c>
      <c r="F16" s="7">
        <v>1.77572</v>
      </c>
      <c r="G16" s="7" t="b">
        <v>0</v>
      </c>
      <c r="H16" s="7" t="s">
        <v>1640</v>
      </c>
      <c r="I16" s="7" t="s">
        <v>1669</v>
      </c>
      <c r="J16" s="7">
        <v>2.24716</v>
      </c>
      <c r="K16" s="7" t="b">
        <v>1</v>
      </c>
      <c r="L16" s="7" t="s">
        <v>1629</v>
      </c>
      <c r="M16" s="7" t="s">
        <v>1670</v>
      </c>
      <c r="O16" s="7" t="b">
        <v>1</v>
      </c>
      <c r="P16" s="7" t="s">
        <v>1671</v>
      </c>
      <c r="Q16" s="7" t="s">
        <v>1672</v>
      </c>
      <c r="S16" s="7" t="b">
        <v>1</v>
      </c>
      <c r="T16" s="7" t="s">
        <v>1629</v>
      </c>
    </row>
    <row r="17">
      <c r="A17" s="7" t="s">
        <v>1673</v>
      </c>
      <c r="B17" s="7">
        <v>0.03349</v>
      </c>
      <c r="C17" s="7" t="b">
        <v>1</v>
      </c>
      <c r="D17" s="7" t="s">
        <v>1629</v>
      </c>
      <c r="E17" s="7" t="s">
        <v>1674</v>
      </c>
      <c r="F17" s="7">
        <v>1.75509</v>
      </c>
      <c r="G17" s="7" t="b">
        <v>0</v>
      </c>
      <c r="H17" s="7" t="s">
        <v>1640</v>
      </c>
      <c r="I17" s="7" t="s">
        <v>1674</v>
      </c>
      <c r="J17" s="7">
        <v>1.62866</v>
      </c>
      <c r="K17" s="7" t="b">
        <v>0</v>
      </c>
      <c r="L17" s="7" t="s">
        <v>1640</v>
      </c>
      <c r="M17" s="7" t="s">
        <v>1675</v>
      </c>
      <c r="O17" s="7" t="b">
        <v>1</v>
      </c>
      <c r="P17" s="7" t="s">
        <v>1629</v>
      </c>
      <c r="Q17" s="7" t="s">
        <v>1675</v>
      </c>
      <c r="S17" s="7" t="b">
        <v>1</v>
      </c>
      <c r="T17" s="7" t="s">
        <v>1629</v>
      </c>
    </row>
    <row r="18">
      <c r="A18" s="7" t="s">
        <v>1676</v>
      </c>
      <c r="B18" s="7">
        <v>0.07435</v>
      </c>
      <c r="E18" s="7" t="s">
        <v>1677</v>
      </c>
      <c r="F18" s="7">
        <v>1.65197</v>
      </c>
      <c r="I18" s="7" t="s">
        <v>1677</v>
      </c>
      <c r="J18" s="7">
        <v>1.8023</v>
      </c>
      <c r="M18" s="7" t="s">
        <v>1677</v>
      </c>
      <c r="Q18" s="7" t="s">
        <v>1677</v>
      </c>
    </row>
    <row r="19">
      <c r="A19" s="7" t="s">
        <v>1678</v>
      </c>
      <c r="B19" s="7">
        <v>0.0756</v>
      </c>
      <c r="E19" s="7" t="s">
        <v>1678</v>
      </c>
      <c r="F19" s="7">
        <v>1.82886</v>
      </c>
      <c r="I19" s="7" t="s">
        <v>1678</v>
      </c>
      <c r="J19" s="7">
        <v>1.87135</v>
      </c>
      <c r="M19" s="7" t="s">
        <v>1678</v>
      </c>
      <c r="Q19" s="7" t="s">
        <v>1678</v>
      </c>
    </row>
    <row r="20">
      <c r="A20" s="7" t="s">
        <v>1679</v>
      </c>
      <c r="B20" s="7">
        <v>0.06074</v>
      </c>
      <c r="C20" s="7" t="b">
        <v>0</v>
      </c>
      <c r="D20" s="7" t="s">
        <v>1640</v>
      </c>
      <c r="E20" s="7" t="s">
        <v>1680</v>
      </c>
      <c r="F20" s="7">
        <v>1.58297</v>
      </c>
      <c r="G20" s="7" t="b">
        <v>0</v>
      </c>
      <c r="H20" s="7" t="s">
        <v>1640</v>
      </c>
      <c r="I20" s="7" t="s">
        <v>1681</v>
      </c>
      <c r="J20" s="7">
        <v>1.67051</v>
      </c>
      <c r="K20" s="7" t="b">
        <v>1</v>
      </c>
      <c r="L20" s="7" t="s">
        <v>1629</v>
      </c>
      <c r="M20" s="7" t="s">
        <v>1681</v>
      </c>
      <c r="O20" s="7" t="b">
        <v>1</v>
      </c>
      <c r="P20" s="7" t="s">
        <v>1629</v>
      </c>
      <c r="Q20" s="7" t="s">
        <v>1681</v>
      </c>
      <c r="S20" s="7" t="b">
        <v>1</v>
      </c>
      <c r="T20" s="7" t="s">
        <v>1629</v>
      </c>
    </row>
    <row r="21">
      <c r="A21" s="7" t="s">
        <v>1682</v>
      </c>
      <c r="B21" s="7">
        <v>0.04403</v>
      </c>
      <c r="E21" s="7" t="s">
        <v>1682</v>
      </c>
      <c r="F21" s="7">
        <v>2.14534</v>
      </c>
      <c r="I21" s="7" t="s">
        <v>1683</v>
      </c>
      <c r="J21" s="7">
        <v>1.67641</v>
      </c>
      <c r="M21" s="7" t="s">
        <v>1682</v>
      </c>
      <c r="Q21" s="7" t="s">
        <v>1683</v>
      </c>
    </row>
    <row r="22">
      <c r="A22" s="7" t="s">
        <v>1684</v>
      </c>
      <c r="B22" s="7">
        <v>0.10433</v>
      </c>
      <c r="C22" s="7" t="b">
        <v>1</v>
      </c>
      <c r="D22" s="7" t="s">
        <v>1685</v>
      </c>
      <c r="E22" s="7" t="s">
        <v>1684</v>
      </c>
      <c r="F22" s="7">
        <v>1.95147</v>
      </c>
      <c r="G22" s="7" t="b">
        <v>1</v>
      </c>
      <c r="H22" s="7" t="s">
        <v>1685</v>
      </c>
      <c r="I22" s="7" t="s">
        <v>1684</v>
      </c>
      <c r="J22" s="7">
        <v>1.68234</v>
      </c>
      <c r="K22" s="7" t="b">
        <v>1</v>
      </c>
      <c r="L22" s="7" t="s">
        <v>1685</v>
      </c>
      <c r="M22" s="7" t="s">
        <v>1684</v>
      </c>
      <c r="O22" s="7" t="b">
        <v>1</v>
      </c>
      <c r="P22" s="7" t="s">
        <v>1685</v>
      </c>
      <c r="Q22" s="7" t="s">
        <v>1684</v>
      </c>
      <c r="S22" s="7" t="b">
        <v>1</v>
      </c>
      <c r="T22" s="7" t="s">
        <v>1685</v>
      </c>
    </row>
    <row r="23">
      <c r="A23" s="7" t="s">
        <v>1686</v>
      </c>
      <c r="B23" s="7">
        <v>0.07625</v>
      </c>
      <c r="E23" s="7" t="s">
        <v>1687</v>
      </c>
      <c r="F23" s="7">
        <v>1.61259</v>
      </c>
      <c r="I23" s="7" t="s">
        <v>1687</v>
      </c>
      <c r="J23" s="7">
        <v>6.34834</v>
      </c>
      <c r="M23" s="7" t="s">
        <v>1687</v>
      </c>
      <c r="Q23" s="7" t="s">
        <v>1687</v>
      </c>
    </row>
    <row r="24">
      <c r="A24" s="7" t="s">
        <v>1688</v>
      </c>
      <c r="B24" s="7">
        <v>0.05831</v>
      </c>
      <c r="C24" s="7" t="b">
        <v>1</v>
      </c>
      <c r="D24" s="7" t="s">
        <v>1685</v>
      </c>
      <c r="E24" s="7" t="s">
        <v>1689</v>
      </c>
      <c r="F24" s="7">
        <v>1.7087</v>
      </c>
      <c r="G24" s="7" t="b">
        <v>0</v>
      </c>
      <c r="H24" s="7" t="s">
        <v>1690</v>
      </c>
      <c r="I24" s="7" t="s">
        <v>1691</v>
      </c>
      <c r="J24" s="7">
        <v>1.85851</v>
      </c>
      <c r="K24" s="7" t="b">
        <v>1</v>
      </c>
      <c r="L24" s="7" t="s">
        <v>1640</v>
      </c>
      <c r="M24" s="7" t="s">
        <v>1692</v>
      </c>
      <c r="O24" s="7" t="b">
        <v>1</v>
      </c>
      <c r="P24" s="7" t="s">
        <v>1640</v>
      </c>
      <c r="Q24" s="7" t="s">
        <v>1692</v>
      </c>
      <c r="S24" s="7" t="b">
        <v>1</v>
      </c>
      <c r="T24" s="7" t="s">
        <v>1640</v>
      </c>
    </row>
    <row r="25">
      <c r="A25" s="7" t="s">
        <v>1693</v>
      </c>
      <c r="B25" s="7">
        <v>0.03617</v>
      </c>
      <c r="C25" s="7" t="b">
        <v>1</v>
      </c>
      <c r="D25" s="7" t="s">
        <v>1694</v>
      </c>
      <c r="E25" s="7" t="s">
        <v>1695</v>
      </c>
      <c r="F25" s="7">
        <v>1.77251</v>
      </c>
      <c r="G25" s="7" t="b">
        <v>0</v>
      </c>
      <c r="H25" s="7" t="s">
        <v>1690</v>
      </c>
      <c r="I25" s="7" t="s">
        <v>1693</v>
      </c>
      <c r="J25" s="7">
        <v>1.73143</v>
      </c>
      <c r="K25" s="7" t="b">
        <v>1</v>
      </c>
      <c r="L25" s="7" t="s">
        <v>1640</v>
      </c>
      <c r="M25" s="7" t="s">
        <v>1696</v>
      </c>
      <c r="O25" s="7" t="b">
        <v>1</v>
      </c>
      <c r="P25" s="7" t="s">
        <v>1640</v>
      </c>
      <c r="Q25" s="7" t="s">
        <v>1697</v>
      </c>
      <c r="S25" s="7" t="b">
        <v>1</v>
      </c>
      <c r="T25" s="7" t="s">
        <v>1640</v>
      </c>
    </row>
    <row r="26">
      <c r="A26" s="7" t="s">
        <v>1698</v>
      </c>
      <c r="B26" s="7">
        <v>0.06469</v>
      </c>
      <c r="E26" s="7" t="s">
        <v>1698</v>
      </c>
      <c r="F26" s="7">
        <v>1.66992</v>
      </c>
      <c r="I26" s="7" t="s">
        <v>1698</v>
      </c>
      <c r="J26" s="7">
        <v>5.55056</v>
      </c>
      <c r="M26" s="7" t="s">
        <v>1698</v>
      </c>
      <c r="Q26" s="7" t="s">
        <v>1698</v>
      </c>
    </row>
    <row r="27">
      <c r="A27" s="7" t="s">
        <v>1699</v>
      </c>
      <c r="B27" s="7">
        <v>0.05256</v>
      </c>
      <c r="E27" s="7" t="s">
        <v>1700</v>
      </c>
      <c r="F27" s="7">
        <v>1.76543</v>
      </c>
      <c r="I27" s="7" t="s">
        <v>1700</v>
      </c>
      <c r="J27" s="7">
        <v>1.79955</v>
      </c>
      <c r="M27" s="7" t="s">
        <v>1700</v>
      </c>
      <c r="Q27" s="7" t="s">
        <v>1700</v>
      </c>
    </row>
    <row r="28">
      <c r="A28" s="7" t="s">
        <v>1701</v>
      </c>
      <c r="B28" s="7">
        <v>0.04611</v>
      </c>
      <c r="E28" s="7" t="s">
        <v>1701</v>
      </c>
      <c r="F28" s="7">
        <v>1.69913</v>
      </c>
      <c r="I28" s="7" t="s">
        <v>1701</v>
      </c>
      <c r="J28" s="7">
        <v>5.18356</v>
      </c>
      <c r="M28" s="7" t="s">
        <v>1701</v>
      </c>
      <c r="Q28" s="7" t="s">
        <v>1701</v>
      </c>
    </row>
    <row r="29">
      <c r="A29" s="7" t="s">
        <v>1702</v>
      </c>
      <c r="B29" s="7">
        <v>0.0511</v>
      </c>
      <c r="C29" s="7" t="b">
        <v>1</v>
      </c>
      <c r="D29" s="7" t="s">
        <v>1703</v>
      </c>
      <c r="E29" s="7" t="s">
        <v>1704</v>
      </c>
      <c r="F29" s="7">
        <v>1.77576</v>
      </c>
      <c r="G29" s="7" t="b">
        <v>0</v>
      </c>
      <c r="H29" s="7" t="s">
        <v>1705</v>
      </c>
      <c r="I29" s="7" t="s">
        <v>1704</v>
      </c>
      <c r="J29" s="7">
        <v>2.178</v>
      </c>
      <c r="K29" s="7" t="b">
        <v>0</v>
      </c>
      <c r="L29" s="7" t="s">
        <v>1705</v>
      </c>
      <c r="M29" s="7" t="s">
        <v>1706</v>
      </c>
      <c r="O29" s="7" t="b">
        <v>1</v>
      </c>
      <c r="P29" s="7" t="s">
        <v>1703</v>
      </c>
      <c r="Q29" s="7" t="s">
        <v>1706</v>
      </c>
      <c r="S29" s="7" t="b">
        <v>1</v>
      </c>
      <c r="T29" s="7" t="s">
        <v>1703</v>
      </c>
    </row>
    <row r="30">
      <c r="A30" s="7" t="s">
        <v>1091</v>
      </c>
      <c r="B30" s="7">
        <v>0.06044</v>
      </c>
      <c r="E30" s="7" t="s">
        <v>1091</v>
      </c>
      <c r="F30" s="7">
        <v>2.11328</v>
      </c>
      <c r="I30" s="7" t="s">
        <v>1091</v>
      </c>
      <c r="J30" s="7">
        <v>1.58393</v>
      </c>
      <c r="M30" s="7" t="s">
        <v>1091</v>
      </c>
      <c r="Q30" s="7" t="s">
        <v>1091</v>
      </c>
    </row>
    <row r="31">
      <c r="A31" s="7" t="s">
        <v>75</v>
      </c>
      <c r="B31" s="7">
        <v>0.05137</v>
      </c>
      <c r="E31" s="7" t="s">
        <v>75</v>
      </c>
      <c r="F31" s="7">
        <v>1.5517</v>
      </c>
      <c r="I31" s="7" t="s">
        <v>75</v>
      </c>
      <c r="J31" s="7">
        <v>2.2158</v>
      </c>
      <c r="M31" s="7" t="s">
        <v>75</v>
      </c>
      <c r="Q31" s="7" t="s">
        <v>75</v>
      </c>
    </row>
    <row r="32">
      <c r="A32" s="7" t="s">
        <v>1707</v>
      </c>
      <c r="B32" s="7">
        <v>0.08596</v>
      </c>
      <c r="E32" s="7" t="s">
        <v>1708</v>
      </c>
      <c r="F32" s="7">
        <v>2.27491</v>
      </c>
      <c r="I32" s="7" t="s">
        <v>1709</v>
      </c>
      <c r="J32" s="7">
        <v>1.84423</v>
      </c>
      <c r="M32" s="7" t="s">
        <v>1709</v>
      </c>
      <c r="Q32" s="7" t="s">
        <v>1709</v>
      </c>
    </row>
    <row r="33">
      <c r="A33" s="7" t="s">
        <v>1710</v>
      </c>
      <c r="B33" s="7">
        <v>0.09528</v>
      </c>
      <c r="E33" s="7" t="s">
        <v>1711</v>
      </c>
      <c r="F33" s="7">
        <v>1.60324</v>
      </c>
      <c r="I33" s="7" t="s">
        <v>1712</v>
      </c>
      <c r="J33" s="7">
        <v>1.51784</v>
      </c>
      <c r="M33" s="7" t="s">
        <v>1712</v>
      </c>
      <c r="Q33" s="7" t="s">
        <v>1712</v>
      </c>
    </row>
    <row r="34">
      <c r="A34" s="7" t="s">
        <v>1713</v>
      </c>
      <c r="B34" s="7">
        <v>0.06949</v>
      </c>
      <c r="C34" s="7" t="b">
        <v>1</v>
      </c>
      <c r="D34" s="7" t="s">
        <v>1703</v>
      </c>
      <c r="E34" s="7" t="s">
        <v>1714</v>
      </c>
      <c r="F34" s="7">
        <v>2.06661</v>
      </c>
      <c r="G34" s="7" t="b">
        <v>0</v>
      </c>
      <c r="H34" s="7" t="s">
        <v>1705</v>
      </c>
      <c r="I34" s="7" t="s">
        <v>1715</v>
      </c>
      <c r="J34" s="7">
        <v>2.60426</v>
      </c>
      <c r="K34" s="7" t="b">
        <v>0</v>
      </c>
      <c r="L34" s="7" t="s">
        <v>1705</v>
      </c>
      <c r="M34" s="7" t="s">
        <v>1716</v>
      </c>
      <c r="O34" s="7" t="b">
        <v>1</v>
      </c>
      <c r="P34" s="7" t="s">
        <v>1703</v>
      </c>
      <c r="Q34" s="7" t="s">
        <v>1716</v>
      </c>
      <c r="S34" s="7" t="b">
        <v>1</v>
      </c>
      <c r="T34" s="7" t="s">
        <v>1703</v>
      </c>
    </row>
    <row r="35">
      <c r="A35" s="7" t="s">
        <v>1717</v>
      </c>
      <c r="B35" s="7">
        <v>0.07042</v>
      </c>
      <c r="E35" s="7" t="s">
        <v>1718</v>
      </c>
      <c r="F35" s="7">
        <v>2.72262</v>
      </c>
      <c r="I35" s="7" t="s">
        <v>1719</v>
      </c>
      <c r="J35" s="7">
        <v>2.09529</v>
      </c>
      <c r="M35" s="7" t="s">
        <v>1720</v>
      </c>
      <c r="Q35" s="7" t="s">
        <v>1721</v>
      </c>
    </row>
    <row r="36">
      <c r="A36" s="7" t="s">
        <v>1722</v>
      </c>
      <c r="B36" s="7">
        <v>0.04453</v>
      </c>
      <c r="E36" s="7" t="s">
        <v>1723</v>
      </c>
      <c r="F36" s="7">
        <v>1.76484</v>
      </c>
      <c r="I36" s="7" t="s">
        <v>1722</v>
      </c>
      <c r="J36" s="7">
        <v>2.26238</v>
      </c>
      <c r="M36" s="7" t="s">
        <v>1723</v>
      </c>
      <c r="Q36" s="7" t="s">
        <v>1724</v>
      </c>
    </row>
    <row r="37">
      <c r="A37" s="7" t="s">
        <v>1725</v>
      </c>
      <c r="B37" s="7">
        <v>0.04442</v>
      </c>
      <c r="E37" s="7" t="s">
        <v>1726</v>
      </c>
      <c r="F37" s="7">
        <v>1.85045</v>
      </c>
      <c r="I37" s="7" t="s">
        <v>1726</v>
      </c>
      <c r="J37" s="7">
        <v>1.77065</v>
      </c>
      <c r="M37" s="7" t="s">
        <v>1726</v>
      </c>
      <c r="Q37" s="7" t="s">
        <v>1727</v>
      </c>
    </row>
    <row r="38">
      <c r="A38" s="7" t="s">
        <v>1728</v>
      </c>
      <c r="B38" s="7">
        <v>0.0983</v>
      </c>
      <c r="C38" s="7" t="b">
        <v>1</v>
      </c>
      <c r="D38" s="7" t="s">
        <v>1703</v>
      </c>
      <c r="E38" s="7" t="s">
        <v>1728</v>
      </c>
      <c r="F38" s="7">
        <v>1.65105</v>
      </c>
      <c r="G38" s="7" t="b">
        <v>0</v>
      </c>
      <c r="H38" s="7" t="s">
        <v>1705</v>
      </c>
      <c r="I38" s="7" t="s">
        <v>1728</v>
      </c>
      <c r="J38" s="7">
        <v>1.91803</v>
      </c>
      <c r="K38" s="7" t="b">
        <v>0</v>
      </c>
      <c r="L38" s="7" t="s">
        <v>1705</v>
      </c>
      <c r="M38" s="7" t="s">
        <v>1728</v>
      </c>
      <c r="O38" s="7" t="b">
        <v>1</v>
      </c>
      <c r="P38" s="7" t="s">
        <v>1703</v>
      </c>
      <c r="Q38" s="7" t="s">
        <v>1728</v>
      </c>
      <c r="S38" s="7" t="b">
        <v>1</v>
      </c>
      <c r="T38" s="7" t="s">
        <v>1703</v>
      </c>
    </row>
    <row r="39">
      <c r="A39" s="7" t="s">
        <v>1729</v>
      </c>
      <c r="B39" s="7">
        <v>0.07804</v>
      </c>
      <c r="E39" s="7" t="s">
        <v>1730</v>
      </c>
      <c r="F39" s="7">
        <v>1.61197</v>
      </c>
      <c r="I39" s="7" t="s">
        <v>1731</v>
      </c>
      <c r="J39" s="7">
        <v>1.74002</v>
      </c>
      <c r="M39" s="7" t="s">
        <v>1730</v>
      </c>
      <c r="Q39" s="7" t="s">
        <v>1731</v>
      </c>
    </row>
    <row r="40">
      <c r="A40" s="7" t="s">
        <v>1732</v>
      </c>
      <c r="B40" s="7">
        <v>0.0556</v>
      </c>
      <c r="E40" s="7" t="s">
        <v>1733</v>
      </c>
      <c r="F40" s="7">
        <v>1.62754</v>
      </c>
      <c r="I40" s="7" t="s">
        <v>1734</v>
      </c>
      <c r="J40" s="7">
        <v>1.69323</v>
      </c>
      <c r="M40" s="7" t="s">
        <v>1733</v>
      </c>
      <c r="Q40" s="7" t="s">
        <v>1734</v>
      </c>
    </row>
    <row r="41">
      <c r="A41" s="7" t="s">
        <v>1735</v>
      </c>
      <c r="B41" s="7">
        <v>0.06417</v>
      </c>
      <c r="C41" s="7" t="b">
        <v>1</v>
      </c>
      <c r="D41" s="7" t="s">
        <v>1736</v>
      </c>
      <c r="E41" s="7" t="s">
        <v>1737</v>
      </c>
      <c r="F41" s="7">
        <v>1.69889</v>
      </c>
      <c r="G41" s="7" t="b">
        <v>0</v>
      </c>
      <c r="H41" s="7" t="s">
        <v>1705</v>
      </c>
      <c r="I41" s="7" t="s">
        <v>1735</v>
      </c>
      <c r="J41" s="7">
        <v>1.74267</v>
      </c>
      <c r="K41" s="7" t="b">
        <v>0</v>
      </c>
      <c r="L41" s="7" t="s">
        <v>1705</v>
      </c>
      <c r="M41" s="7" t="s">
        <v>1738</v>
      </c>
      <c r="O41" s="7" t="b">
        <v>1</v>
      </c>
      <c r="P41" s="7" t="s">
        <v>1705</v>
      </c>
      <c r="Q41" s="7" t="s">
        <v>1739</v>
      </c>
      <c r="S41" s="7" t="b">
        <v>1</v>
      </c>
      <c r="T41" s="7" t="s">
        <v>1705</v>
      </c>
    </row>
    <row r="42">
      <c r="A42" s="7" t="s">
        <v>1740</v>
      </c>
      <c r="B42" s="7">
        <v>0.07975</v>
      </c>
      <c r="E42" s="7" t="s">
        <v>1741</v>
      </c>
      <c r="F42" s="7">
        <v>1.73333</v>
      </c>
      <c r="I42" s="7" t="s">
        <v>1742</v>
      </c>
      <c r="J42" s="7">
        <v>1.69698</v>
      </c>
      <c r="M42" s="7" t="s">
        <v>1743</v>
      </c>
      <c r="Q42" s="7" t="s">
        <v>1741</v>
      </c>
    </row>
    <row r="43">
      <c r="A43" s="7" t="s">
        <v>1744</v>
      </c>
      <c r="B43" s="7">
        <v>0.0608</v>
      </c>
      <c r="C43" s="7" t="b">
        <v>1</v>
      </c>
      <c r="D43" s="7" t="s">
        <v>1736</v>
      </c>
      <c r="E43" s="7" t="s">
        <v>1745</v>
      </c>
      <c r="F43" s="7">
        <v>1.7066</v>
      </c>
      <c r="G43" s="7" t="b">
        <v>0</v>
      </c>
      <c r="H43" s="7" t="s">
        <v>1705</v>
      </c>
      <c r="I43" s="7" t="s">
        <v>1746</v>
      </c>
      <c r="J43" s="7">
        <v>1.54863</v>
      </c>
      <c r="K43" s="7" t="b">
        <v>0</v>
      </c>
      <c r="L43" s="7" t="s">
        <v>1705</v>
      </c>
      <c r="M43" s="7" t="s">
        <v>1747</v>
      </c>
      <c r="O43" s="7" t="b">
        <v>1</v>
      </c>
      <c r="P43" s="7" t="s">
        <v>1705</v>
      </c>
      <c r="Q43" s="7" t="s">
        <v>1746</v>
      </c>
      <c r="S43" s="7" t="b">
        <v>1</v>
      </c>
      <c r="T43" s="7" t="s">
        <v>1705</v>
      </c>
    </row>
    <row r="44">
      <c r="A44" s="7" t="s">
        <v>1748</v>
      </c>
      <c r="B44" s="7">
        <v>0.10398</v>
      </c>
      <c r="E44" s="7" t="s">
        <v>1749</v>
      </c>
      <c r="F44" s="7">
        <v>2.59707</v>
      </c>
      <c r="I44" s="7" t="s">
        <v>1750</v>
      </c>
      <c r="J44" s="7">
        <v>1.56204</v>
      </c>
      <c r="M44" s="7" t="s">
        <v>1751</v>
      </c>
      <c r="Q44" s="7" t="s">
        <v>1749</v>
      </c>
    </row>
    <row r="45">
      <c r="A45" s="7" t="s">
        <v>1752</v>
      </c>
      <c r="B45" s="7">
        <v>0.05413</v>
      </c>
      <c r="E45" s="7" t="s">
        <v>1753</v>
      </c>
      <c r="F45" s="7">
        <v>1.65055</v>
      </c>
      <c r="I45" s="7" t="s">
        <v>1753</v>
      </c>
      <c r="J45" s="7">
        <v>1.5616</v>
      </c>
      <c r="M45" s="7" t="s">
        <v>1753</v>
      </c>
      <c r="Q45" s="7" t="s">
        <v>1753</v>
      </c>
    </row>
    <row r="46">
      <c r="A46" s="7" t="s">
        <v>1754</v>
      </c>
      <c r="B46" s="7">
        <v>0.05786</v>
      </c>
      <c r="C46" s="7" t="b">
        <v>1</v>
      </c>
      <c r="D46" s="7" t="s">
        <v>1736</v>
      </c>
      <c r="E46" s="7" t="s">
        <v>1755</v>
      </c>
      <c r="F46" s="7">
        <v>1.69958</v>
      </c>
      <c r="G46" s="7" t="b">
        <v>0</v>
      </c>
      <c r="H46" s="7" t="s">
        <v>1705</v>
      </c>
      <c r="I46" s="7" t="s">
        <v>1756</v>
      </c>
      <c r="J46" s="7">
        <v>1.59042</v>
      </c>
      <c r="K46" s="7" t="b">
        <v>0</v>
      </c>
      <c r="L46" s="7" t="s">
        <v>1705</v>
      </c>
      <c r="M46" s="7" t="s">
        <v>1757</v>
      </c>
      <c r="O46" s="7" t="b">
        <v>1</v>
      </c>
      <c r="P46" s="7" t="s">
        <v>1705</v>
      </c>
      <c r="Q46" s="7" t="s">
        <v>1756</v>
      </c>
      <c r="S46" s="7" t="b">
        <v>1</v>
      </c>
      <c r="T46" s="7" t="s">
        <v>1705</v>
      </c>
    </row>
    <row r="47">
      <c r="A47" s="7" t="s">
        <v>1758</v>
      </c>
      <c r="B47" s="7">
        <v>0.05614</v>
      </c>
      <c r="E47" s="7" t="s">
        <v>1759</v>
      </c>
      <c r="F47" s="7">
        <v>1.81781</v>
      </c>
      <c r="I47" s="7" t="s">
        <v>1760</v>
      </c>
      <c r="J47" s="7">
        <v>1.61828</v>
      </c>
      <c r="M47" s="7" t="s">
        <v>1761</v>
      </c>
      <c r="Q47" s="7" t="s">
        <v>1762</v>
      </c>
    </row>
    <row r="48">
      <c r="A48" s="7" t="s">
        <v>1763</v>
      </c>
      <c r="B48" s="7">
        <v>0.03977</v>
      </c>
      <c r="E48" s="7" t="s">
        <v>1764</v>
      </c>
      <c r="F48" s="7">
        <v>1.76877</v>
      </c>
      <c r="I48" s="7" t="s">
        <v>1764</v>
      </c>
      <c r="J48" s="7">
        <v>1.47796</v>
      </c>
      <c r="M48" s="7" t="s">
        <v>1765</v>
      </c>
      <c r="Q48" s="7" t="s">
        <v>1763</v>
      </c>
    </row>
    <row r="49">
      <c r="A49" s="7" t="s">
        <v>1766</v>
      </c>
      <c r="B49" s="7">
        <v>0.08422</v>
      </c>
      <c r="C49" s="7" t="b">
        <v>1</v>
      </c>
      <c r="D49" s="7" t="s">
        <v>1703</v>
      </c>
      <c r="E49" s="7" t="s">
        <v>1766</v>
      </c>
      <c r="F49" s="7">
        <v>1.76679</v>
      </c>
      <c r="G49" s="7" t="b">
        <v>1</v>
      </c>
      <c r="H49" s="7" t="s">
        <v>1703</v>
      </c>
      <c r="I49" s="7" t="s">
        <v>1766</v>
      </c>
      <c r="J49" s="7">
        <v>1.63567</v>
      </c>
      <c r="K49" s="7" t="b">
        <v>1</v>
      </c>
      <c r="L49" s="7" t="s">
        <v>1767</v>
      </c>
      <c r="M49" s="7" t="s">
        <v>1766</v>
      </c>
      <c r="O49" s="7" t="b">
        <v>1</v>
      </c>
      <c r="P49" s="7" t="s">
        <v>1703</v>
      </c>
      <c r="Q49" s="7" t="s">
        <v>1766</v>
      </c>
      <c r="S49" s="7" t="b">
        <v>1</v>
      </c>
      <c r="T49" s="7" t="s">
        <v>1703</v>
      </c>
    </row>
    <row r="50">
      <c r="A50" s="7" t="s">
        <v>1768</v>
      </c>
      <c r="B50" s="7">
        <v>0.08421</v>
      </c>
      <c r="E50" s="7" t="s">
        <v>1768</v>
      </c>
      <c r="F50" s="7">
        <v>2.16413</v>
      </c>
      <c r="I50" s="7" t="s">
        <v>1768</v>
      </c>
      <c r="J50" s="7">
        <v>1.90959</v>
      </c>
      <c r="M50" s="7" t="s">
        <v>1769</v>
      </c>
      <c r="Q50" s="7" t="s">
        <v>1770</v>
      </c>
    </row>
    <row r="51">
      <c r="A51" s="7" t="s">
        <v>74</v>
      </c>
      <c r="B51" s="7">
        <v>0.05085</v>
      </c>
      <c r="E51" s="7" t="s">
        <v>74</v>
      </c>
      <c r="F51" s="7">
        <v>1.71844</v>
      </c>
      <c r="I51" s="7" t="s">
        <v>74</v>
      </c>
      <c r="J51" s="7">
        <v>1.96931</v>
      </c>
      <c r="M51" s="7" t="s">
        <v>74</v>
      </c>
      <c r="Q51" s="7" t="s">
        <v>74</v>
      </c>
    </row>
    <row r="52">
      <c r="A52" s="7" t="s">
        <v>1771</v>
      </c>
      <c r="B52" s="7">
        <v>0.05504</v>
      </c>
      <c r="C52" s="7" t="b">
        <v>1</v>
      </c>
      <c r="D52" s="7" t="s">
        <v>1703</v>
      </c>
      <c r="E52" s="7" t="s">
        <v>1771</v>
      </c>
      <c r="F52" s="7">
        <v>1.98877</v>
      </c>
      <c r="G52" s="7" t="b">
        <v>1</v>
      </c>
      <c r="H52" s="7" t="s">
        <v>1703</v>
      </c>
      <c r="I52" s="7" t="s">
        <v>1771</v>
      </c>
      <c r="J52" s="7">
        <v>1.75324</v>
      </c>
      <c r="K52" s="7" t="b">
        <v>1</v>
      </c>
      <c r="L52" s="7" t="s">
        <v>1772</v>
      </c>
      <c r="M52" s="7" t="s">
        <v>1771</v>
      </c>
      <c r="O52" s="7" t="b">
        <v>1</v>
      </c>
      <c r="P52" s="7" t="s">
        <v>1703</v>
      </c>
      <c r="Q52" s="7" t="s">
        <v>1771</v>
      </c>
      <c r="S52" s="7" t="b">
        <v>1</v>
      </c>
      <c r="T52" s="7" t="s">
        <v>1703</v>
      </c>
    </row>
    <row r="53">
      <c r="A53" s="7" t="s">
        <v>1773</v>
      </c>
      <c r="B53" s="7">
        <v>0.05899</v>
      </c>
      <c r="E53" s="7" t="s">
        <v>1774</v>
      </c>
      <c r="F53" s="7">
        <v>1.6399</v>
      </c>
      <c r="I53" s="7" t="s">
        <v>1775</v>
      </c>
      <c r="J53" s="7">
        <v>1.46142</v>
      </c>
      <c r="M53" s="7" t="s">
        <v>1776</v>
      </c>
      <c r="Q53" s="7" t="s">
        <v>1777</v>
      </c>
    </row>
    <row r="54">
      <c r="A54" s="7" t="s">
        <v>1778</v>
      </c>
      <c r="B54" s="7">
        <v>0.07202</v>
      </c>
      <c r="E54" s="7" t="s">
        <v>1778</v>
      </c>
      <c r="F54" s="7">
        <v>1.74662</v>
      </c>
      <c r="I54" s="7" t="s">
        <v>1778</v>
      </c>
      <c r="J54" s="7">
        <v>1.82737</v>
      </c>
      <c r="M54" s="7" t="s">
        <v>1778</v>
      </c>
      <c r="Q54" s="7" t="s">
        <v>1778</v>
      </c>
    </row>
    <row r="55">
      <c r="A55" s="7" t="s">
        <v>75</v>
      </c>
      <c r="B55" s="7">
        <v>0.05699</v>
      </c>
      <c r="E55" s="7" t="s">
        <v>75</v>
      </c>
      <c r="F55" s="7">
        <v>2.41007</v>
      </c>
      <c r="I55" s="7" t="s">
        <v>75</v>
      </c>
      <c r="J55" s="7">
        <v>1.65854</v>
      </c>
      <c r="M55" s="7" t="s">
        <v>75</v>
      </c>
      <c r="Q55" s="7" t="s">
        <v>75</v>
      </c>
    </row>
    <row r="56">
      <c r="A56" s="7" t="s">
        <v>1779</v>
      </c>
      <c r="B56" s="7">
        <v>0.05715</v>
      </c>
      <c r="C56" s="7" t="b">
        <v>1</v>
      </c>
      <c r="D56" s="7" t="s">
        <v>1780</v>
      </c>
      <c r="E56" s="7" t="s">
        <v>1781</v>
      </c>
      <c r="F56" s="7">
        <v>3.10662</v>
      </c>
      <c r="G56" s="7" t="b">
        <v>0</v>
      </c>
      <c r="H56" s="7" t="s">
        <v>1690</v>
      </c>
      <c r="I56" s="7" t="s">
        <v>1779</v>
      </c>
      <c r="J56" s="7">
        <v>1.98528</v>
      </c>
      <c r="K56" s="7" t="b">
        <v>1</v>
      </c>
      <c r="L56" s="7" t="s">
        <v>1772</v>
      </c>
      <c r="M56" s="7" t="s">
        <v>1782</v>
      </c>
      <c r="O56" s="7" t="b">
        <v>1</v>
      </c>
      <c r="P56" s="7" t="s">
        <v>1703</v>
      </c>
      <c r="Q56" s="7" t="s">
        <v>1783</v>
      </c>
      <c r="S56" s="7" t="b">
        <v>1</v>
      </c>
      <c r="T56" s="7" t="s">
        <v>1703</v>
      </c>
    </row>
    <row r="57">
      <c r="A57" s="7" t="s">
        <v>1693</v>
      </c>
      <c r="B57" s="7">
        <v>0.03668</v>
      </c>
      <c r="C57" s="7" t="b">
        <v>1</v>
      </c>
      <c r="D57" s="7" t="s">
        <v>1784</v>
      </c>
      <c r="E57" s="7" t="s">
        <v>1695</v>
      </c>
      <c r="F57" s="7">
        <v>1.65863</v>
      </c>
      <c r="G57" s="7" t="b">
        <v>0</v>
      </c>
      <c r="H57" s="7" t="s">
        <v>1690</v>
      </c>
      <c r="I57" s="7" t="s">
        <v>1693</v>
      </c>
      <c r="J57" s="7">
        <v>2.03178</v>
      </c>
      <c r="K57" s="7" t="b">
        <v>1</v>
      </c>
      <c r="L57" s="7" t="s">
        <v>1785</v>
      </c>
      <c r="M57" s="7" t="s">
        <v>1697</v>
      </c>
      <c r="O57" s="7" t="b">
        <v>1</v>
      </c>
      <c r="P57" s="7" t="s">
        <v>1785</v>
      </c>
      <c r="Q57" s="7" t="s">
        <v>1786</v>
      </c>
      <c r="S57" s="7" t="b">
        <v>0</v>
      </c>
      <c r="T57" s="7" t="s">
        <v>1705</v>
      </c>
    </row>
    <row r="58">
      <c r="A58" s="7" t="s">
        <v>1787</v>
      </c>
      <c r="B58" s="7">
        <v>0.03213</v>
      </c>
      <c r="C58" s="7" t="b">
        <v>1</v>
      </c>
      <c r="D58" s="7" t="s">
        <v>1788</v>
      </c>
      <c r="E58" s="7" t="s">
        <v>1789</v>
      </c>
      <c r="F58" s="7">
        <v>1.81183</v>
      </c>
      <c r="G58" s="7" t="b">
        <v>1</v>
      </c>
      <c r="H58" s="7" t="s">
        <v>1790</v>
      </c>
      <c r="I58" s="7" t="s">
        <v>1787</v>
      </c>
      <c r="J58" s="7">
        <v>1.85822</v>
      </c>
      <c r="K58" s="7" t="b">
        <v>1</v>
      </c>
      <c r="L58" s="7" t="s">
        <v>1788</v>
      </c>
      <c r="M58" s="7" t="s">
        <v>1791</v>
      </c>
      <c r="O58" s="7" t="b">
        <v>1</v>
      </c>
      <c r="P58" s="7" t="s">
        <v>1788</v>
      </c>
      <c r="Q58" s="7" t="s">
        <v>1792</v>
      </c>
      <c r="S58" s="7" t="b">
        <v>0</v>
      </c>
      <c r="T58" s="7" t="s">
        <v>1793</v>
      </c>
    </row>
    <row r="59">
      <c r="A59" s="7" t="s">
        <v>1794</v>
      </c>
      <c r="B59" s="7">
        <v>0.05181</v>
      </c>
      <c r="E59" s="7" t="s">
        <v>1795</v>
      </c>
      <c r="F59" s="7">
        <v>1.72018</v>
      </c>
      <c r="I59" s="7" t="s">
        <v>1794</v>
      </c>
      <c r="J59" s="7">
        <v>2.49791</v>
      </c>
      <c r="M59" s="7" t="s">
        <v>1796</v>
      </c>
      <c r="Q59" s="7" t="s">
        <v>1795</v>
      </c>
    </row>
    <row r="60">
      <c r="A60" s="7" t="s">
        <v>1797</v>
      </c>
      <c r="B60" s="7">
        <v>0.02838</v>
      </c>
      <c r="C60" s="7" t="b">
        <v>1</v>
      </c>
      <c r="D60" s="7" t="s">
        <v>1798</v>
      </c>
      <c r="E60" s="7" t="s">
        <v>1797</v>
      </c>
      <c r="F60" s="7">
        <v>1.77219</v>
      </c>
      <c r="G60" s="7" t="b">
        <v>1</v>
      </c>
      <c r="H60" s="7" t="s">
        <v>1705</v>
      </c>
      <c r="I60" s="7" t="s">
        <v>1797</v>
      </c>
      <c r="J60" s="7">
        <v>1.67522</v>
      </c>
      <c r="K60" s="7" t="b">
        <v>1</v>
      </c>
      <c r="L60" s="7" t="s">
        <v>1705</v>
      </c>
      <c r="M60" s="7" t="s">
        <v>1797</v>
      </c>
      <c r="O60" s="7" t="b">
        <v>1</v>
      </c>
      <c r="P60" s="7" t="s">
        <v>1705</v>
      </c>
      <c r="Q60" s="7" t="s">
        <v>1797</v>
      </c>
      <c r="S60" s="7" t="b">
        <v>1</v>
      </c>
      <c r="T60" s="7" t="s">
        <v>1705</v>
      </c>
    </row>
    <row r="61">
      <c r="A61" s="7" t="s">
        <v>1799</v>
      </c>
      <c r="B61" s="7">
        <v>0.05684</v>
      </c>
      <c r="E61" s="7" t="s">
        <v>1800</v>
      </c>
      <c r="F61" s="7">
        <v>1.72001</v>
      </c>
      <c r="I61" s="7" t="s">
        <v>1799</v>
      </c>
      <c r="J61" s="7">
        <v>1.76158</v>
      </c>
      <c r="M61" s="7" t="s">
        <v>1801</v>
      </c>
      <c r="Q61" s="7" t="s">
        <v>1802</v>
      </c>
    </row>
    <row r="62">
      <c r="A62" s="7" t="s">
        <v>1803</v>
      </c>
      <c r="B62" s="7">
        <v>0.03044</v>
      </c>
      <c r="C62" s="7" t="b">
        <v>0</v>
      </c>
      <c r="D62" s="7" t="s">
        <v>1690</v>
      </c>
      <c r="E62" s="7" t="s">
        <v>1804</v>
      </c>
      <c r="F62" s="7">
        <v>1.73016</v>
      </c>
      <c r="G62" s="7" t="b">
        <v>0</v>
      </c>
      <c r="H62" s="7" t="s">
        <v>1705</v>
      </c>
      <c r="I62" s="7" t="s">
        <v>1804</v>
      </c>
      <c r="J62" s="7">
        <v>1.73366</v>
      </c>
      <c r="K62" s="7" t="b">
        <v>0</v>
      </c>
      <c r="L62" s="7" t="s">
        <v>1705</v>
      </c>
      <c r="M62" s="7" t="s">
        <v>1805</v>
      </c>
      <c r="O62" s="7" t="b">
        <v>1</v>
      </c>
      <c r="P62" s="7" t="s">
        <v>1705</v>
      </c>
      <c r="Q62" s="7" t="s">
        <v>1805</v>
      </c>
      <c r="S62" s="7" t="b">
        <v>1</v>
      </c>
      <c r="T62" s="7" t="s">
        <v>1705</v>
      </c>
    </row>
    <row r="63">
      <c r="A63" s="7" t="s">
        <v>1806</v>
      </c>
      <c r="B63" s="7">
        <v>0.04491</v>
      </c>
      <c r="E63" s="7" t="s">
        <v>1807</v>
      </c>
      <c r="F63" s="7">
        <v>2.07121</v>
      </c>
      <c r="I63" s="7" t="s">
        <v>1807</v>
      </c>
      <c r="J63" s="7">
        <v>1.62262</v>
      </c>
      <c r="M63" s="7" t="s">
        <v>1807</v>
      </c>
      <c r="Q63" s="7" t="s">
        <v>1807</v>
      </c>
    </row>
    <row r="64">
      <c r="A64" s="7" t="s">
        <v>1808</v>
      </c>
      <c r="B64" s="7">
        <v>0.03674</v>
      </c>
      <c r="E64" s="7" t="s">
        <v>1809</v>
      </c>
      <c r="F64" s="7">
        <v>1.7929</v>
      </c>
      <c r="I64" s="7" t="s">
        <v>1809</v>
      </c>
      <c r="J64" s="7">
        <v>1.67817</v>
      </c>
      <c r="M64" s="7" t="s">
        <v>1809</v>
      </c>
      <c r="Q64" s="7" t="s">
        <v>1810</v>
      </c>
    </row>
    <row r="65">
      <c r="A65" s="7" t="s">
        <v>1811</v>
      </c>
      <c r="B65" s="7">
        <v>0.03312</v>
      </c>
      <c r="C65" s="7" t="b">
        <v>1</v>
      </c>
      <c r="D65" s="7" t="s">
        <v>1812</v>
      </c>
      <c r="E65" s="7" t="s">
        <v>1813</v>
      </c>
      <c r="F65" s="7">
        <v>2.12278</v>
      </c>
      <c r="G65" s="7" t="b">
        <v>0</v>
      </c>
      <c r="H65" s="7" t="s">
        <v>1703</v>
      </c>
      <c r="I65" s="7" t="s">
        <v>1814</v>
      </c>
      <c r="J65" s="7">
        <v>2.21388</v>
      </c>
      <c r="K65" s="7" t="b">
        <v>0</v>
      </c>
      <c r="M65" s="7" t="s">
        <v>1815</v>
      </c>
      <c r="O65" s="7" t="b">
        <v>0</v>
      </c>
      <c r="P65" s="7" t="s">
        <v>1816</v>
      </c>
      <c r="Q65" s="7" t="s">
        <v>1815</v>
      </c>
      <c r="S65" s="7" t="b">
        <v>1</v>
      </c>
      <c r="T65" s="7" t="s">
        <v>1812</v>
      </c>
    </row>
    <row r="66">
      <c r="A66" s="7" t="s">
        <v>1817</v>
      </c>
      <c r="B66" s="7">
        <v>0.03167</v>
      </c>
      <c r="C66" s="7" t="b">
        <v>1</v>
      </c>
      <c r="D66" s="7" t="s">
        <v>1818</v>
      </c>
      <c r="E66" s="7" t="s">
        <v>1817</v>
      </c>
      <c r="F66" s="7">
        <v>1.75429</v>
      </c>
      <c r="G66" s="7" t="b">
        <v>0</v>
      </c>
      <c r="H66" s="7" t="s">
        <v>1819</v>
      </c>
      <c r="I66" s="7" t="s">
        <v>1820</v>
      </c>
      <c r="J66" s="7">
        <v>1.75707</v>
      </c>
      <c r="K66" s="7" t="b">
        <v>0</v>
      </c>
      <c r="M66" s="7" t="s">
        <v>1821</v>
      </c>
      <c r="O66" s="7" t="b">
        <v>0</v>
      </c>
      <c r="P66" s="7" t="s">
        <v>1819</v>
      </c>
      <c r="Q66" s="7" t="s">
        <v>1821</v>
      </c>
      <c r="S66" s="7" t="b">
        <v>1</v>
      </c>
      <c r="T66" s="7" t="s">
        <v>1818</v>
      </c>
    </row>
    <row r="67">
      <c r="A67" s="7" t="s">
        <v>1822</v>
      </c>
      <c r="B67" s="7">
        <v>0.03321</v>
      </c>
      <c r="E67" s="7" t="s">
        <v>1823</v>
      </c>
      <c r="F67" s="7">
        <v>1.62825</v>
      </c>
      <c r="I67" s="7" t="s">
        <v>1823</v>
      </c>
      <c r="J67" s="7">
        <v>1.652</v>
      </c>
      <c r="M67" s="7" t="s">
        <v>1823</v>
      </c>
      <c r="Q67" s="7" t="s">
        <v>1824</v>
      </c>
    </row>
    <row r="68">
      <c r="A68" s="7" t="s">
        <v>1822</v>
      </c>
      <c r="B68" s="7">
        <v>0.03087</v>
      </c>
      <c r="E68" s="7" t="s">
        <v>1824</v>
      </c>
      <c r="F68" s="7">
        <v>1.76971</v>
      </c>
      <c r="I68" s="7" t="s">
        <v>1824</v>
      </c>
      <c r="J68" s="7">
        <v>2.14616</v>
      </c>
      <c r="M68" s="7" t="s">
        <v>1824</v>
      </c>
      <c r="Q68" s="7" t="s">
        <v>1824</v>
      </c>
    </row>
    <row r="69">
      <c r="A69" s="7" t="s">
        <v>1825</v>
      </c>
      <c r="B69" s="7">
        <v>0.03204</v>
      </c>
      <c r="C69" s="7" t="b">
        <v>1</v>
      </c>
      <c r="D69" s="7" t="s">
        <v>1826</v>
      </c>
      <c r="E69" s="7" t="s">
        <v>1825</v>
      </c>
      <c r="F69" s="7">
        <v>1.88207</v>
      </c>
      <c r="G69" s="7" t="b">
        <v>0</v>
      </c>
      <c r="H69" s="7" t="s">
        <v>1827</v>
      </c>
      <c r="I69" s="7" t="s">
        <v>1825</v>
      </c>
      <c r="J69" s="7">
        <v>2.53483</v>
      </c>
      <c r="K69" s="7" t="b">
        <v>0</v>
      </c>
      <c r="L69" s="7" t="s">
        <v>1827</v>
      </c>
      <c r="M69" s="7" t="s">
        <v>1828</v>
      </c>
      <c r="O69" s="7" t="b">
        <v>0</v>
      </c>
      <c r="P69" s="7" t="s">
        <v>1827</v>
      </c>
      <c r="Q69" s="7" t="s">
        <v>1828</v>
      </c>
      <c r="S69" s="7" t="b">
        <v>1</v>
      </c>
      <c r="T69" s="7" t="s">
        <v>1826</v>
      </c>
    </row>
    <row r="70">
      <c r="A70" s="7" t="s">
        <v>1829</v>
      </c>
      <c r="B70" s="7">
        <v>0.03132</v>
      </c>
      <c r="C70" s="7" t="b">
        <v>1</v>
      </c>
      <c r="D70" s="7" t="s">
        <v>1830</v>
      </c>
      <c r="E70" s="7" t="s">
        <v>1831</v>
      </c>
      <c r="F70" s="7">
        <v>1.66421</v>
      </c>
      <c r="G70" s="7" t="b">
        <v>0</v>
      </c>
      <c r="H70" s="7" t="s">
        <v>1705</v>
      </c>
      <c r="I70" s="7" t="s">
        <v>1832</v>
      </c>
      <c r="J70" s="7">
        <v>1.65091</v>
      </c>
      <c r="K70" s="7" t="b">
        <v>0</v>
      </c>
      <c r="M70" s="7" t="s">
        <v>1833</v>
      </c>
      <c r="O70" s="7" t="b">
        <v>0</v>
      </c>
      <c r="P70" s="7" t="s">
        <v>1834</v>
      </c>
      <c r="Q70" s="7" t="s">
        <v>1833</v>
      </c>
      <c r="S70" s="7" t="b">
        <v>1</v>
      </c>
      <c r="T70" s="7" t="s">
        <v>1830</v>
      </c>
    </row>
    <row r="71">
      <c r="A71" s="7" t="s">
        <v>1835</v>
      </c>
      <c r="B71" s="7">
        <v>0.03277</v>
      </c>
      <c r="C71" s="7" t="b">
        <v>1</v>
      </c>
      <c r="D71" s="7" t="s">
        <v>1836</v>
      </c>
      <c r="E71" s="7" t="s">
        <v>1835</v>
      </c>
      <c r="F71" s="7">
        <v>1.59781</v>
      </c>
      <c r="G71" s="7" t="b">
        <v>0</v>
      </c>
      <c r="H71" s="7" t="s">
        <v>1837</v>
      </c>
      <c r="I71" s="7" t="s">
        <v>1835</v>
      </c>
      <c r="J71" s="7">
        <v>1.52978</v>
      </c>
      <c r="K71" s="7" t="b">
        <v>0</v>
      </c>
      <c r="L71" s="7" t="s">
        <v>1838</v>
      </c>
      <c r="M71" s="7" t="s">
        <v>1839</v>
      </c>
      <c r="O71" s="7" t="b">
        <v>0</v>
      </c>
      <c r="P71" s="7" t="s">
        <v>1837</v>
      </c>
      <c r="Q71" s="7" t="s">
        <v>1839</v>
      </c>
      <c r="S71" s="7" t="b">
        <v>1</v>
      </c>
      <c r="T71" s="7" t="s">
        <v>1836</v>
      </c>
    </row>
    <row r="72">
      <c r="A72" s="7" t="s">
        <v>1840</v>
      </c>
      <c r="B72" s="7">
        <v>0.03882</v>
      </c>
      <c r="E72" s="7" t="s">
        <v>1841</v>
      </c>
      <c r="F72" s="7">
        <v>4.89332</v>
      </c>
      <c r="H72" s="7" t="s">
        <v>1842</v>
      </c>
      <c r="I72" s="7" t="s">
        <v>1843</v>
      </c>
      <c r="J72" s="7">
        <v>1.69119</v>
      </c>
      <c r="M72" s="7" t="s">
        <v>1843</v>
      </c>
      <c r="O72" s="7"/>
      <c r="Q72" s="7" t="s">
        <v>1844</v>
      </c>
    </row>
    <row r="73">
      <c r="A73" s="7" t="s">
        <v>1840</v>
      </c>
      <c r="B73" s="7">
        <v>0.03519</v>
      </c>
      <c r="E73" s="7" t="s">
        <v>1844</v>
      </c>
      <c r="F73" s="7">
        <v>1.71683</v>
      </c>
      <c r="I73" s="7" t="s">
        <v>1844</v>
      </c>
      <c r="J73" s="7">
        <v>2.09498</v>
      </c>
      <c r="M73" s="7" t="s">
        <v>1844</v>
      </c>
      <c r="Q73" s="7" t="s">
        <v>1844</v>
      </c>
    </row>
    <row r="74">
      <c r="A74" s="7" t="s">
        <v>1845</v>
      </c>
      <c r="B74" s="7">
        <v>0.03005</v>
      </c>
      <c r="C74" s="7" t="b">
        <v>1</v>
      </c>
      <c r="D74" s="7" t="s">
        <v>1826</v>
      </c>
      <c r="E74" s="7" t="s">
        <v>1845</v>
      </c>
      <c r="F74" s="7">
        <v>1.82335</v>
      </c>
      <c r="G74" s="7" t="b">
        <v>0</v>
      </c>
      <c r="H74" s="7" t="s">
        <v>1827</v>
      </c>
      <c r="I74" s="7" t="s">
        <v>1846</v>
      </c>
      <c r="J74" s="7">
        <v>1.66503</v>
      </c>
      <c r="K74" s="7" t="b">
        <v>0</v>
      </c>
      <c r="M74" s="7" t="s">
        <v>1847</v>
      </c>
      <c r="O74" s="7" t="b">
        <v>0</v>
      </c>
      <c r="P74" s="7" t="s">
        <v>1827</v>
      </c>
      <c r="Q74" s="7" t="s">
        <v>1847</v>
      </c>
      <c r="S74" s="7" t="b">
        <v>1</v>
      </c>
      <c r="T74" s="7" t="s">
        <v>1826</v>
      </c>
    </row>
    <row r="75">
      <c r="A75" s="7" t="s">
        <v>624</v>
      </c>
      <c r="B75" s="7">
        <v>0.03152</v>
      </c>
      <c r="C75" s="7" t="b">
        <v>0</v>
      </c>
      <c r="E75" s="7" t="s">
        <v>1848</v>
      </c>
      <c r="F75" s="7">
        <v>1.74931</v>
      </c>
      <c r="G75" s="7" t="b">
        <v>0</v>
      </c>
      <c r="H75" s="7" t="s">
        <v>1690</v>
      </c>
      <c r="I75" s="7" t="s">
        <v>1849</v>
      </c>
      <c r="J75" s="7">
        <v>2.19355</v>
      </c>
      <c r="K75" s="7" t="b">
        <v>0</v>
      </c>
      <c r="L75" s="7" t="s">
        <v>1842</v>
      </c>
      <c r="M75" s="7" t="s">
        <v>1850</v>
      </c>
      <c r="O75" s="7" t="b">
        <v>0</v>
      </c>
      <c r="P75" s="7" t="s">
        <v>1851</v>
      </c>
      <c r="Q75" s="7" t="s">
        <v>1850</v>
      </c>
      <c r="S75" s="7" t="b">
        <v>1</v>
      </c>
      <c r="T75" s="7" t="s">
        <v>1852</v>
      </c>
    </row>
    <row r="76">
      <c r="A76" s="7" t="s">
        <v>1853</v>
      </c>
      <c r="B76" s="7">
        <v>0.02845</v>
      </c>
      <c r="C76" s="7" t="b">
        <v>1</v>
      </c>
      <c r="D76" s="7" t="s">
        <v>1854</v>
      </c>
      <c r="E76" s="7" t="s">
        <v>1853</v>
      </c>
      <c r="F76" s="7">
        <v>1.83193</v>
      </c>
      <c r="G76" s="7" t="b">
        <v>0</v>
      </c>
      <c r="H76" s="7" t="s">
        <v>1855</v>
      </c>
      <c r="I76" s="7" t="s">
        <v>1853</v>
      </c>
      <c r="J76" s="7">
        <v>1.7377</v>
      </c>
      <c r="K76" s="7" t="b">
        <v>0</v>
      </c>
      <c r="L76" s="7" t="s">
        <v>1856</v>
      </c>
      <c r="M76" s="7" t="s">
        <v>1857</v>
      </c>
      <c r="O76" s="7" t="b">
        <v>0</v>
      </c>
      <c r="P76" s="7" t="s">
        <v>1855</v>
      </c>
      <c r="Q76" s="7" t="s">
        <v>1857</v>
      </c>
      <c r="S76" s="7" t="b">
        <v>1</v>
      </c>
      <c r="T76" s="7" t="s">
        <v>1854</v>
      </c>
    </row>
    <row r="77">
      <c r="A77" s="7" t="s">
        <v>1858</v>
      </c>
      <c r="B77" s="7">
        <v>0.0298</v>
      </c>
      <c r="E77" s="7" t="s">
        <v>1859</v>
      </c>
      <c r="F77" s="7">
        <v>1.76844</v>
      </c>
      <c r="I77" s="7" t="s">
        <v>1859</v>
      </c>
      <c r="J77" s="7">
        <v>1.76499</v>
      </c>
      <c r="M77" s="7" t="s">
        <v>1859</v>
      </c>
      <c r="Q77" s="7" t="s">
        <v>1859</v>
      </c>
    </row>
    <row r="78">
      <c r="A78" s="7" t="s">
        <v>1858</v>
      </c>
      <c r="B78" s="7">
        <v>0.06076</v>
      </c>
      <c r="E78" s="7" t="s">
        <v>1860</v>
      </c>
      <c r="F78" s="7">
        <v>1.64151</v>
      </c>
      <c r="I78" s="7" t="s">
        <v>1860</v>
      </c>
      <c r="J78" s="7">
        <v>2.12993</v>
      </c>
      <c r="M78" s="7" t="s">
        <v>1860</v>
      </c>
      <c r="Q78" s="7" t="s">
        <v>1859</v>
      </c>
    </row>
    <row r="79">
      <c r="A79" s="7" t="s">
        <v>1861</v>
      </c>
      <c r="B79" s="7">
        <v>0.02998</v>
      </c>
      <c r="C79" s="7" t="b">
        <v>1</v>
      </c>
      <c r="D79" s="7" t="s">
        <v>1862</v>
      </c>
      <c r="E79" s="7" t="s">
        <v>1861</v>
      </c>
      <c r="F79" s="7">
        <v>1.75072</v>
      </c>
      <c r="G79" s="7" t="b">
        <v>0</v>
      </c>
      <c r="H79" s="7" t="s">
        <v>1863</v>
      </c>
      <c r="I79" s="7" t="s">
        <v>1864</v>
      </c>
      <c r="J79" s="7">
        <v>2.0667</v>
      </c>
      <c r="K79" s="7" t="b">
        <v>0</v>
      </c>
      <c r="M79" s="7" t="s">
        <v>1865</v>
      </c>
      <c r="O79" s="7" t="b">
        <v>0</v>
      </c>
      <c r="P79" s="7" t="s">
        <v>1863</v>
      </c>
      <c r="Q79" s="7" t="s">
        <v>1865</v>
      </c>
      <c r="S79" s="7" t="b">
        <v>1</v>
      </c>
      <c r="T79" s="7" t="s">
        <v>1866</v>
      </c>
    </row>
    <row r="80">
      <c r="A80" s="7" t="s">
        <v>1867</v>
      </c>
      <c r="B80" s="7">
        <v>0.03341</v>
      </c>
      <c r="E80" s="7" t="s">
        <v>1868</v>
      </c>
      <c r="F80" s="7">
        <v>1.6786</v>
      </c>
      <c r="I80" s="7" t="s">
        <v>1868</v>
      </c>
      <c r="J80" s="7">
        <v>1.73682</v>
      </c>
      <c r="M80" s="7" t="s">
        <v>1868</v>
      </c>
      <c r="Q80" s="7" t="s">
        <v>1868</v>
      </c>
    </row>
    <row r="81">
      <c r="A81" s="7" t="s">
        <v>1867</v>
      </c>
      <c r="B81" s="7">
        <v>0.0339</v>
      </c>
      <c r="E81" s="7" t="s">
        <v>1869</v>
      </c>
      <c r="F81" s="7">
        <v>1.77018</v>
      </c>
      <c r="I81" s="7" t="s">
        <v>1869</v>
      </c>
      <c r="J81" s="7">
        <v>1.78007</v>
      </c>
      <c r="M81" s="7" t="s">
        <v>1869</v>
      </c>
      <c r="Q81" s="7" t="s">
        <v>1868</v>
      </c>
    </row>
    <row r="82">
      <c r="A82" s="7" t="s">
        <v>1870</v>
      </c>
      <c r="B82" s="7">
        <v>0.03524</v>
      </c>
      <c r="C82" s="7" t="b">
        <v>1</v>
      </c>
      <c r="D82" s="7" t="s">
        <v>1871</v>
      </c>
      <c r="E82" s="7" t="s">
        <v>1872</v>
      </c>
      <c r="F82" s="7">
        <v>1.75705</v>
      </c>
      <c r="G82" s="7" t="b">
        <v>0</v>
      </c>
      <c r="H82" s="7" t="s">
        <v>1705</v>
      </c>
      <c r="I82" s="7" t="s">
        <v>1873</v>
      </c>
      <c r="J82" s="7">
        <v>1.60155</v>
      </c>
      <c r="K82" s="7" t="b">
        <v>0</v>
      </c>
      <c r="M82" s="7" t="s">
        <v>1874</v>
      </c>
      <c r="O82" s="7" t="b">
        <v>0</v>
      </c>
      <c r="P82" s="7" t="s">
        <v>1875</v>
      </c>
      <c r="Q82" s="7" t="s">
        <v>1876</v>
      </c>
      <c r="S82" s="7" t="b">
        <v>1</v>
      </c>
      <c r="T82" s="7" t="s">
        <v>1871</v>
      </c>
    </row>
    <row r="83">
      <c r="A83" s="7" t="s">
        <v>1877</v>
      </c>
      <c r="B83" s="7">
        <v>0.05788</v>
      </c>
      <c r="E83" s="7" t="s">
        <v>1878</v>
      </c>
      <c r="F83" s="7">
        <v>1.77927</v>
      </c>
      <c r="I83" s="7" t="s">
        <v>1878</v>
      </c>
      <c r="J83" s="7">
        <v>1.53353</v>
      </c>
      <c r="M83" s="7" t="s">
        <v>1878</v>
      </c>
      <c r="Q83" s="7" t="s">
        <v>1878</v>
      </c>
    </row>
    <row r="84">
      <c r="A84" s="7" t="s">
        <v>1877</v>
      </c>
      <c r="B84" s="7">
        <v>0.05675</v>
      </c>
      <c r="E84" s="7" t="s">
        <v>1879</v>
      </c>
      <c r="F84" s="7">
        <v>1.7652</v>
      </c>
      <c r="I84" s="7" t="s">
        <v>1879</v>
      </c>
      <c r="J84" s="7">
        <v>1.56573</v>
      </c>
      <c r="M84" s="7" t="s">
        <v>1879</v>
      </c>
      <c r="Q84" s="7" t="s">
        <v>1878</v>
      </c>
    </row>
    <row r="85">
      <c r="A85" s="7" t="s">
        <v>1880</v>
      </c>
      <c r="B85" s="7">
        <v>0.07995</v>
      </c>
      <c r="C85" s="7" t="b">
        <v>1</v>
      </c>
      <c r="D85" s="7" t="s">
        <v>1881</v>
      </c>
      <c r="E85" s="7" t="s">
        <v>1882</v>
      </c>
      <c r="F85" s="7">
        <v>1.79737</v>
      </c>
      <c r="G85" s="7" t="b">
        <v>0</v>
      </c>
      <c r="H85" s="7" t="s">
        <v>1883</v>
      </c>
      <c r="I85" s="7" t="s">
        <v>1882</v>
      </c>
      <c r="J85" s="7">
        <v>1.80914</v>
      </c>
      <c r="K85" s="7" t="b">
        <v>0</v>
      </c>
      <c r="L85" s="7" t="s">
        <v>1884</v>
      </c>
      <c r="M85" s="7" t="s">
        <v>1885</v>
      </c>
      <c r="O85" s="7" t="b">
        <v>0</v>
      </c>
      <c r="P85" s="7" t="s">
        <v>1886</v>
      </c>
      <c r="Q85" s="7" t="s">
        <v>1887</v>
      </c>
      <c r="S85" s="7" t="b">
        <v>1</v>
      </c>
      <c r="T85" s="7" t="s">
        <v>1881</v>
      </c>
    </row>
    <row r="86">
      <c r="A86" s="7" t="s">
        <v>1888</v>
      </c>
      <c r="B86" s="7">
        <v>0.03238</v>
      </c>
      <c r="E86" s="7" t="s">
        <v>1889</v>
      </c>
      <c r="F86" s="7">
        <v>1.91187</v>
      </c>
      <c r="I86" s="7" t="s">
        <v>1890</v>
      </c>
      <c r="J86" s="7">
        <v>1.7533</v>
      </c>
      <c r="M86" s="7" t="s">
        <v>1889</v>
      </c>
      <c r="Q86" s="7" t="s">
        <v>1890</v>
      </c>
    </row>
    <row r="87">
      <c r="A87" s="7" t="s">
        <v>1891</v>
      </c>
      <c r="B87" s="7">
        <v>0.03825</v>
      </c>
      <c r="E87" s="7" t="s">
        <v>1892</v>
      </c>
      <c r="F87" s="7">
        <v>1.68156</v>
      </c>
      <c r="I87" s="7" t="s">
        <v>1892</v>
      </c>
      <c r="J87" s="7">
        <v>1.64217</v>
      </c>
      <c r="M87" s="7" t="s">
        <v>1892</v>
      </c>
      <c r="Q87" s="7" t="s">
        <v>1893</v>
      </c>
    </row>
    <row r="88">
      <c r="A88" s="7" t="s">
        <v>1894</v>
      </c>
      <c r="B88" s="7">
        <v>0.08268</v>
      </c>
      <c r="E88" s="7" t="s">
        <v>1895</v>
      </c>
      <c r="F88" s="7">
        <v>1.76967</v>
      </c>
      <c r="I88" s="7" t="s">
        <v>1894</v>
      </c>
      <c r="J88" s="7">
        <v>2.32951</v>
      </c>
      <c r="M88" s="7" t="s">
        <v>1895</v>
      </c>
      <c r="Q88" s="7" t="s">
        <v>1895</v>
      </c>
    </row>
    <row r="89">
      <c r="A89" s="7" t="s">
        <v>1896</v>
      </c>
      <c r="B89" s="7">
        <v>0.06174</v>
      </c>
      <c r="C89" s="7" t="b">
        <v>1</v>
      </c>
      <c r="D89" s="7" t="s">
        <v>1897</v>
      </c>
      <c r="E89" s="7" t="s">
        <v>1896</v>
      </c>
      <c r="F89" s="7">
        <v>1.74164</v>
      </c>
      <c r="G89" s="7" t="b">
        <v>1</v>
      </c>
      <c r="H89" s="7" t="s">
        <v>1897</v>
      </c>
      <c r="I89" s="7" t="s">
        <v>1898</v>
      </c>
      <c r="J89" s="7">
        <v>1.63055</v>
      </c>
      <c r="K89" s="7" t="b">
        <v>1</v>
      </c>
      <c r="L89" s="7" t="s">
        <v>1899</v>
      </c>
      <c r="M89" s="7" t="s">
        <v>1900</v>
      </c>
      <c r="O89" s="7" t="b">
        <v>1</v>
      </c>
      <c r="P89" s="7" t="s">
        <v>1901</v>
      </c>
      <c r="Q89" s="7" t="s">
        <v>1900</v>
      </c>
      <c r="S89" s="7" t="b">
        <v>1</v>
      </c>
      <c r="T89" s="7" t="s">
        <v>1902</v>
      </c>
    </row>
    <row r="90">
      <c r="A90" s="7" t="s">
        <v>1903</v>
      </c>
      <c r="B90" s="7">
        <v>0.06143</v>
      </c>
      <c r="E90" s="7" t="s">
        <v>1904</v>
      </c>
      <c r="F90" s="7">
        <v>1.52528</v>
      </c>
      <c r="I90" s="7" t="s">
        <v>1905</v>
      </c>
      <c r="J90" s="7">
        <v>1.63804</v>
      </c>
      <c r="M90" s="7" t="s">
        <v>1906</v>
      </c>
      <c r="Q90" s="7" t="s">
        <v>1907</v>
      </c>
    </row>
    <row r="91">
      <c r="A91" s="7" t="s">
        <v>1766</v>
      </c>
      <c r="B91" s="7">
        <v>0.03289</v>
      </c>
      <c r="C91" s="7" t="b">
        <v>1</v>
      </c>
      <c r="D91" s="7" t="s">
        <v>1908</v>
      </c>
      <c r="E91" s="7" t="s">
        <v>1766</v>
      </c>
      <c r="F91" s="7">
        <v>1.58886</v>
      </c>
      <c r="G91" s="7" t="b">
        <v>1</v>
      </c>
      <c r="H91" s="7" t="s">
        <v>1908</v>
      </c>
      <c r="I91" s="7" t="s">
        <v>1766</v>
      </c>
      <c r="J91" s="7">
        <v>1.63317</v>
      </c>
      <c r="K91" s="7" t="b">
        <v>1</v>
      </c>
      <c r="L91" s="7" t="s">
        <v>1908</v>
      </c>
      <c r="M91" s="7" t="s">
        <v>1766</v>
      </c>
      <c r="O91" s="7" t="b">
        <v>1</v>
      </c>
      <c r="P91" s="7" t="s">
        <v>1909</v>
      </c>
      <c r="Q91" s="7" t="s">
        <v>1766</v>
      </c>
      <c r="S91" s="7" t="b">
        <v>1</v>
      </c>
      <c r="T91" s="7" t="s">
        <v>1908</v>
      </c>
    </row>
    <row r="92">
      <c r="A92" s="7" t="s">
        <v>1910</v>
      </c>
      <c r="B92" s="7">
        <v>0.03612</v>
      </c>
      <c r="E92" s="7" t="s">
        <v>1911</v>
      </c>
      <c r="F92" s="7">
        <v>2.50231</v>
      </c>
      <c r="I92" s="7" t="s">
        <v>1912</v>
      </c>
      <c r="J92" s="7">
        <v>1.79733</v>
      </c>
      <c r="M92" s="7" t="s">
        <v>1912</v>
      </c>
      <c r="Q92" s="7" t="s">
        <v>1913</v>
      </c>
    </row>
    <row r="93">
      <c r="A93" s="7" t="s">
        <v>1914</v>
      </c>
      <c r="B93" s="7">
        <v>0.09588</v>
      </c>
      <c r="C93" s="7" t="b">
        <v>1</v>
      </c>
      <c r="D93" s="7" t="s">
        <v>1703</v>
      </c>
      <c r="E93" s="7" t="s">
        <v>1915</v>
      </c>
      <c r="F93" s="7">
        <v>1.79228</v>
      </c>
      <c r="G93" s="7" t="b">
        <v>0</v>
      </c>
      <c r="H93" s="7" t="s">
        <v>1690</v>
      </c>
      <c r="I93" s="7" t="s">
        <v>1915</v>
      </c>
      <c r="J93" s="7">
        <v>1.78904</v>
      </c>
      <c r="K93" s="7" t="b">
        <v>0</v>
      </c>
      <c r="L93" s="7" t="s">
        <v>1690</v>
      </c>
      <c r="M93" s="7" t="s">
        <v>1916</v>
      </c>
      <c r="O93" s="7" t="b">
        <v>1</v>
      </c>
      <c r="P93" s="7" t="s">
        <v>1703</v>
      </c>
      <c r="Q93" s="7" t="s">
        <v>1917</v>
      </c>
      <c r="S93" s="7" t="b">
        <v>1</v>
      </c>
      <c r="T93" s="7" t="s">
        <v>1703</v>
      </c>
    </row>
    <row r="94">
      <c r="A94" s="7" t="s">
        <v>1918</v>
      </c>
      <c r="B94" s="7">
        <v>0.03404</v>
      </c>
      <c r="E94" s="7" t="s">
        <v>1919</v>
      </c>
      <c r="F94" s="7">
        <v>1.58701</v>
      </c>
      <c r="I94" s="7" t="s">
        <v>1919</v>
      </c>
      <c r="J94" s="7">
        <v>1.81944</v>
      </c>
      <c r="M94" s="7" t="s">
        <v>1919</v>
      </c>
      <c r="Q94" s="7" t="s">
        <v>1919</v>
      </c>
    </row>
    <row r="95">
      <c r="A95" s="7" t="s">
        <v>1920</v>
      </c>
      <c r="B95" s="7">
        <v>0.0374</v>
      </c>
      <c r="E95" s="7" t="s">
        <v>1921</v>
      </c>
      <c r="F95" s="7">
        <v>1.74053</v>
      </c>
      <c r="I95" s="7" t="s">
        <v>1921</v>
      </c>
      <c r="J95" s="7">
        <v>2.23231</v>
      </c>
      <c r="M95" s="7" t="s">
        <v>1921</v>
      </c>
      <c r="Q95" s="7" t="s">
        <v>1921</v>
      </c>
    </row>
    <row r="96">
      <c r="A96" s="7" t="s">
        <v>1922</v>
      </c>
      <c r="B96" s="7">
        <v>0.03064</v>
      </c>
      <c r="C96" s="7" t="b">
        <v>1</v>
      </c>
      <c r="D96" s="7" t="s">
        <v>1923</v>
      </c>
      <c r="E96" s="7" t="s">
        <v>1924</v>
      </c>
      <c r="F96" s="7">
        <v>1.89575</v>
      </c>
      <c r="G96" s="7" t="b">
        <v>1</v>
      </c>
      <c r="H96" s="7" t="s">
        <v>1780</v>
      </c>
      <c r="I96" s="7" t="s">
        <v>1924</v>
      </c>
      <c r="J96" s="7">
        <v>1.82188</v>
      </c>
      <c r="K96" s="7" t="b">
        <v>1</v>
      </c>
      <c r="L96" s="7" t="s">
        <v>1780</v>
      </c>
      <c r="M96" s="7" t="s">
        <v>1925</v>
      </c>
      <c r="O96" s="7" t="b">
        <v>1</v>
      </c>
      <c r="P96" s="7" t="s">
        <v>1926</v>
      </c>
      <c r="Q96" s="7" t="s">
        <v>1927</v>
      </c>
      <c r="S96" s="7" t="b">
        <v>1</v>
      </c>
      <c r="T96" s="7" t="s">
        <v>1780</v>
      </c>
    </row>
    <row r="97">
      <c r="A97" s="7" t="s">
        <v>1380</v>
      </c>
      <c r="B97" s="7">
        <v>0.07688</v>
      </c>
      <c r="E97" s="7" t="s">
        <v>1381</v>
      </c>
      <c r="F97" s="7">
        <v>1.56356</v>
      </c>
      <c r="I97" s="7" t="s">
        <v>1381</v>
      </c>
      <c r="J97" s="7">
        <v>1.60044</v>
      </c>
      <c r="M97" s="7" t="s">
        <v>1381</v>
      </c>
      <c r="Q97" s="7" t="s">
        <v>1381</v>
      </c>
    </row>
    <row r="98">
      <c r="A98" s="7" t="s">
        <v>801</v>
      </c>
      <c r="B98" s="7">
        <v>0.05671</v>
      </c>
      <c r="C98" s="7" t="b">
        <v>0</v>
      </c>
      <c r="D98" s="7" t="s">
        <v>1705</v>
      </c>
      <c r="E98" s="7" t="s">
        <v>800</v>
      </c>
      <c r="F98" s="7">
        <v>1.6728</v>
      </c>
      <c r="G98" s="7" t="b">
        <v>0</v>
      </c>
      <c r="H98" s="7" t="s">
        <v>1705</v>
      </c>
      <c r="I98" s="7" t="s">
        <v>1928</v>
      </c>
      <c r="J98" s="7">
        <v>1.82527</v>
      </c>
      <c r="K98" s="7" t="b">
        <v>1</v>
      </c>
      <c r="L98" s="7" t="s">
        <v>1929</v>
      </c>
      <c r="M98" s="7" t="s">
        <v>1930</v>
      </c>
      <c r="O98" s="7" t="b">
        <v>1</v>
      </c>
      <c r="P98" s="7" t="s">
        <v>1931</v>
      </c>
      <c r="Q98" s="7" t="s">
        <v>1930</v>
      </c>
      <c r="S98" s="7" t="b">
        <v>1</v>
      </c>
      <c r="T98" s="7" t="s">
        <v>1931</v>
      </c>
    </row>
    <row r="99">
      <c r="A99" s="7" t="s">
        <v>1932</v>
      </c>
      <c r="B99" s="7">
        <v>0.03567</v>
      </c>
      <c r="E99" s="7" t="s">
        <v>1933</v>
      </c>
      <c r="F99" s="7">
        <v>1.63607</v>
      </c>
      <c r="H99" s="7" t="s">
        <v>1842</v>
      </c>
      <c r="I99" s="7" t="s">
        <v>1933</v>
      </c>
      <c r="J99" s="7">
        <v>1.76565</v>
      </c>
      <c r="L99" s="7"/>
      <c r="M99" s="7" t="s">
        <v>1933</v>
      </c>
      <c r="Q99" s="7" t="s">
        <v>1934</v>
      </c>
    </row>
    <row r="100">
      <c r="A100" s="7" t="s">
        <v>1935</v>
      </c>
      <c r="B100" s="7">
        <v>0.04227</v>
      </c>
      <c r="E100" s="7" t="s">
        <v>1936</v>
      </c>
      <c r="F100" s="7">
        <v>1.86597</v>
      </c>
      <c r="I100" s="7" t="s">
        <v>1935</v>
      </c>
      <c r="J100" s="7">
        <v>1.67399</v>
      </c>
      <c r="M100" s="7" t="s">
        <v>1936</v>
      </c>
      <c r="Q100" s="7" t="s">
        <v>1936</v>
      </c>
    </row>
    <row r="101">
      <c r="A101" s="7" t="s">
        <v>1937</v>
      </c>
      <c r="B101" s="7">
        <v>0.0648</v>
      </c>
      <c r="C101" s="7" t="b">
        <v>1</v>
      </c>
      <c r="D101" s="7" t="s">
        <v>1736</v>
      </c>
      <c r="E101" s="7" t="s">
        <v>1937</v>
      </c>
      <c r="F101" s="7">
        <v>1.79804</v>
      </c>
      <c r="G101" s="7" t="b">
        <v>1</v>
      </c>
      <c r="H101" s="7" t="s">
        <v>1736</v>
      </c>
      <c r="I101" s="7" t="s">
        <v>1937</v>
      </c>
      <c r="J101" s="7">
        <v>3.05422</v>
      </c>
      <c r="K101" s="7" t="b">
        <v>1</v>
      </c>
      <c r="L101" s="7" t="s">
        <v>1736</v>
      </c>
      <c r="M101" s="7" t="s">
        <v>1938</v>
      </c>
      <c r="O101" s="7" t="b">
        <v>1</v>
      </c>
      <c r="P101" s="7" t="s">
        <v>1736</v>
      </c>
      <c r="Q101" s="7" t="s">
        <v>1938</v>
      </c>
      <c r="S101" s="7" t="b">
        <v>1</v>
      </c>
      <c r="T101" s="7" t="s">
        <v>1736</v>
      </c>
    </row>
    <row r="102">
      <c r="A102" s="7" t="s">
        <v>1939</v>
      </c>
      <c r="B102" s="7">
        <v>0.05732</v>
      </c>
      <c r="E102" s="7" t="s">
        <v>1940</v>
      </c>
      <c r="F102" s="7">
        <v>1.56736</v>
      </c>
      <c r="H102" s="7" t="s">
        <v>1842</v>
      </c>
      <c r="I102" s="7" t="s">
        <v>1940</v>
      </c>
      <c r="J102" s="7">
        <v>1.75756</v>
      </c>
      <c r="L102" s="7"/>
      <c r="M102" s="7" t="s">
        <v>1940</v>
      </c>
      <c r="Q102" s="7" t="s">
        <v>1941</v>
      </c>
    </row>
    <row r="103">
      <c r="A103" s="7" t="s">
        <v>1942</v>
      </c>
      <c r="B103" s="7">
        <v>0.03529</v>
      </c>
      <c r="E103" s="7" t="s">
        <v>1943</v>
      </c>
      <c r="F103" s="7">
        <v>2.11806</v>
      </c>
      <c r="I103" s="7" t="s">
        <v>1942</v>
      </c>
      <c r="J103" s="7">
        <v>2.81905</v>
      </c>
      <c r="M103" s="7" t="s">
        <v>1943</v>
      </c>
      <c r="Q103" s="7" t="s">
        <v>1943</v>
      </c>
    </row>
    <row r="104">
      <c r="A104" s="7" t="s">
        <v>1338</v>
      </c>
      <c r="B104" s="7">
        <v>0.0624</v>
      </c>
      <c r="E104" s="7" t="s">
        <v>1339</v>
      </c>
      <c r="F104" s="7">
        <v>1.61105</v>
      </c>
      <c r="I104" s="7" t="s">
        <v>1338</v>
      </c>
      <c r="J104" s="7">
        <v>2.12049</v>
      </c>
      <c r="M104" s="7" t="s">
        <v>1339</v>
      </c>
      <c r="Q104" s="7" t="s">
        <v>1339</v>
      </c>
    </row>
    <row r="105">
      <c r="A105" s="7" t="s">
        <v>1944</v>
      </c>
      <c r="B105" s="7">
        <v>0.03809</v>
      </c>
      <c r="C105" s="7" t="b">
        <v>1</v>
      </c>
      <c r="D105" s="7" t="s">
        <v>1703</v>
      </c>
      <c r="E105" s="7" t="s">
        <v>1944</v>
      </c>
      <c r="F105" s="7">
        <v>1.74716</v>
      </c>
      <c r="G105" s="7" t="b">
        <v>1</v>
      </c>
      <c r="H105" s="7" t="s">
        <v>1703</v>
      </c>
      <c r="I105" s="7" t="s">
        <v>1944</v>
      </c>
      <c r="J105" s="7">
        <v>1.84253</v>
      </c>
      <c r="K105" s="7" t="b">
        <v>1</v>
      </c>
      <c r="L105" s="7" t="s">
        <v>1703</v>
      </c>
      <c r="M105" s="7" t="s">
        <v>1945</v>
      </c>
      <c r="O105" s="7" t="b">
        <v>1</v>
      </c>
      <c r="P105" s="7" t="s">
        <v>1703</v>
      </c>
      <c r="Q105" s="7" t="s">
        <v>1945</v>
      </c>
      <c r="S105" s="7" t="b">
        <v>1</v>
      </c>
      <c r="T105" s="7" t="s">
        <v>1946</v>
      </c>
    </row>
  </sheetData>
  <drawing r:id="rId1"/>
</worksheet>
</file>